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19790\Documents\PythonProjects\my_project_storage_flex\"/>
    </mc:Choice>
  </mc:AlternateContent>
  <xr:revisionPtr revIDLastSave="0" documentId="13_ncr:1_{92F6B6FB-8715-491F-BDCF-E00471145F58}" xr6:coauthVersionLast="47" xr6:coauthVersionMax="47" xr10:uidLastSave="{00000000-0000-0000-0000-000000000000}"/>
  <bookViews>
    <workbookView xWindow="-19860" yWindow="-17388" windowWidth="30936" windowHeight="16776" xr2:uid="{7ECE9F35-DAB4-4C93-B351-872F619E86C7}"/>
  </bookViews>
  <sheets>
    <sheet name="price_paths_test_n2" sheetId="1" r:id="rId1"/>
    <sheet name="daily_fwd_curve_test" sheetId="2" r:id="rId2"/>
  </sheets>
  <definedNames>
    <definedName name="_xlnm._FilterDatabase" localSheetId="1" hidden="1">daily_fwd_curve_test!$B$1:$D$337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2" i="1"/>
  <c r="O13" i="1"/>
  <c r="O15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18" i="1"/>
  <c r="N15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18" i="1"/>
  <c r="M1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18" i="1"/>
  <c r="F20" i="1"/>
  <c r="F21" i="1"/>
  <c r="J21" i="1" s="1"/>
  <c r="F22" i="1"/>
  <c r="J22" i="1" s="1"/>
  <c r="F23" i="1"/>
  <c r="J23" i="1" s="1"/>
  <c r="F24" i="1"/>
  <c r="J24" i="1" s="1"/>
  <c r="F25" i="1"/>
  <c r="J25" i="1" s="1"/>
  <c r="F26" i="1"/>
  <c r="J26" i="1" s="1"/>
  <c r="F27" i="1"/>
  <c r="J27" i="1" s="1"/>
  <c r="F28" i="1"/>
  <c r="J28" i="1" s="1"/>
  <c r="F29" i="1"/>
  <c r="J29" i="1" s="1"/>
  <c r="F30" i="1"/>
  <c r="J30" i="1" s="1"/>
  <c r="F31" i="1"/>
  <c r="F32" i="1"/>
  <c r="F33" i="1"/>
  <c r="F34" i="1"/>
  <c r="J34" i="1" s="1"/>
  <c r="F35" i="1"/>
  <c r="F36" i="1"/>
  <c r="J36" i="1" s="1"/>
  <c r="F37" i="1"/>
  <c r="J37" i="1" s="1"/>
  <c r="F38" i="1"/>
  <c r="J38" i="1" s="1"/>
  <c r="F39" i="1"/>
  <c r="J39" i="1" s="1"/>
  <c r="F40" i="1"/>
  <c r="F41" i="1"/>
  <c r="J41" i="1" s="1"/>
  <c r="F42" i="1"/>
  <c r="J42" i="1" s="1"/>
  <c r="F43" i="1"/>
  <c r="J43" i="1" s="1"/>
  <c r="F44" i="1"/>
  <c r="J44" i="1" s="1"/>
  <c r="F45" i="1"/>
  <c r="J45" i="1" s="1"/>
  <c r="F46" i="1"/>
  <c r="J46" i="1" s="1"/>
  <c r="F47" i="1"/>
  <c r="J47" i="1" s="1"/>
  <c r="F48" i="1"/>
  <c r="J48" i="1" s="1"/>
  <c r="F49" i="1"/>
  <c r="J49" i="1" s="1"/>
  <c r="F50" i="1"/>
  <c r="J50" i="1" s="1"/>
  <c r="F51" i="1"/>
  <c r="F52" i="1"/>
  <c r="F53" i="1"/>
  <c r="F54" i="1"/>
  <c r="J54" i="1" s="1"/>
  <c r="F55" i="1"/>
  <c r="J55" i="1" s="1"/>
  <c r="F56" i="1"/>
  <c r="J56" i="1" s="1"/>
  <c r="F57" i="1"/>
  <c r="J57" i="1" s="1"/>
  <c r="F58" i="1"/>
  <c r="J58" i="1" s="1"/>
  <c r="F59" i="1"/>
  <c r="J59" i="1" s="1"/>
  <c r="F60" i="1"/>
  <c r="F61" i="1"/>
  <c r="J61" i="1" s="1"/>
  <c r="F62" i="1"/>
  <c r="J62" i="1" s="1"/>
  <c r="F63" i="1"/>
  <c r="J63" i="1" s="1"/>
  <c r="F64" i="1"/>
  <c r="J64" i="1" s="1"/>
  <c r="F65" i="1"/>
  <c r="J65" i="1" s="1"/>
  <c r="F66" i="1"/>
  <c r="J66" i="1" s="1"/>
  <c r="F67" i="1"/>
  <c r="J67" i="1" s="1"/>
  <c r="F68" i="1"/>
  <c r="J68" i="1" s="1"/>
  <c r="F69" i="1"/>
  <c r="J69" i="1" s="1"/>
  <c r="F70" i="1"/>
  <c r="J70" i="1" s="1"/>
  <c r="F71" i="1"/>
  <c r="F72" i="1"/>
  <c r="F73" i="1"/>
  <c r="F74" i="1"/>
  <c r="F75" i="1"/>
  <c r="F76" i="1"/>
  <c r="F77" i="1"/>
  <c r="F78" i="1"/>
  <c r="F79" i="1"/>
  <c r="J79" i="1" s="1"/>
  <c r="F80" i="1"/>
  <c r="F81" i="1"/>
  <c r="J81" i="1" s="1"/>
  <c r="F82" i="1"/>
  <c r="J82" i="1" s="1"/>
  <c r="F83" i="1"/>
  <c r="J83" i="1" s="1"/>
  <c r="F84" i="1"/>
  <c r="J84" i="1" s="1"/>
  <c r="F85" i="1"/>
  <c r="J85" i="1" s="1"/>
  <c r="F86" i="1"/>
  <c r="J86" i="1" s="1"/>
  <c r="F87" i="1"/>
  <c r="J87" i="1" s="1"/>
  <c r="F88" i="1"/>
  <c r="J88" i="1" s="1"/>
  <c r="F89" i="1"/>
  <c r="J89" i="1" s="1"/>
  <c r="F90" i="1"/>
  <c r="J90" i="1" s="1"/>
  <c r="F91" i="1"/>
  <c r="F92" i="1"/>
  <c r="F93" i="1"/>
  <c r="F94" i="1"/>
  <c r="F95" i="1"/>
  <c r="J95" i="1" s="1"/>
  <c r="F96" i="1"/>
  <c r="J96" i="1" s="1"/>
  <c r="F97" i="1"/>
  <c r="F98" i="1"/>
  <c r="F99" i="1"/>
  <c r="J99" i="1" s="1"/>
  <c r="F100" i="1"/>
  <c r="F101" i="1"/>
  <c r="J101" i="1" s="1"/>
  <c r="F102" i="1"/>
  <c r="J102" i="1" s="1"/>
  <c r="F103" i="1"/>
  <c r="J103" i="1" s="1"/>
  <c r="F104" i="1"/>
  <c r="J104" i="1" s="1"/>
  <c r="F105" i="1"/>
  <c r="J105" i="1" s="1"/>
  <c r="F106" i="1"/>
  <c r="J106" i="1" s="1"/>
  <c r="F107" i="1"/>
  <c r="J107" i="1" s="1"/>
  <c r="F108" i="1"/>
  <c r="J108" i="1" s="1"/>
  <c r="F109" i="1"/>
  <c r="J109" i="1" s="1"/>
  <c r="F110" i="1"/>
  <c r="J110" i="1" s="1"/>
  <c r="F111" i="1"/>
  <c r="F112" i="1"/>
  <c r="F113" i="1"/>
  <c r="F114" i="1"/>
  <c r="F115" i="1"/>
  <c r="F116" i="1"/>
  <c r="F117" i="1"/>
  <c r="F118" i="1"/>
  <c r="F119" i="1"/>
  <c r="F120" i="1"/>
  <c r="F121" i="1"/>
  <c r="J121" i="1" s="1"/>
  <c r="F122" i="1"/>
  <c r="J122" i="1" s="1"/>
  <c r="F123" i="1"/>
  <c r="J123" i="1" s="1"/>
  <c r="F124" i="1"/>
  <c r="J124" i="1" s="1"/>
  <c r="F125" i="1"/>
  <c r="J125" i="1" s="1"/>
  <c r="F126" i="1"/>
  <c r="J126" i="1" s="1"/>
  <c r="F127" i="1"/>
  <c r="J127" i="1" s="1"/>
  <c r="F128" i="1"/>
  <c r="J128" i="1" s="1"/>
  <c r="F129" i="1"/>
  <c r="J129" i="1" s="1"/>
  <c r="F130" i="1"/>
  <c r="J130" i="1" s="1"/>
  <c r="F131" i="1"/>
  <c r="F132" i="1"/>
  <c r="F133" i="1"/>
  <c r="F134" i="1"/>
  <c r="F135" i="1"/>
  <c r="J135" i="1" s="1"/>
  <c r="F136" i="1"/>
  <c r="J136" i="1" s="1"/>
  <c r="F137" i="1"/>
  <c r="J137" i="1" s="1"/>
  <c r="F138" i="1"/>
  <c r="J138" i="1" s="1"/>
  <c r="F139" i="1"/>
  <c r="J139" i="1" s="1"/>
  <c r="F140" i="1"/>
  <c r="F141" i="1"/>
  <c r="J141" i="1" s="1"/>
  <c r="F142" i="1"/>
  <c r="J142" i="1" s="1"/>
  <c r="F143" i="1"/>
  <c r="J143" i="1" s="1"/>
  <c r="F144" i="1"/>
  <c r="J144" i="1" s="1"/>
  <c r="F145" i="1"/>
  <c r="J145" i="1" s="1"/>
  <c r="F146" i="1"/>
  <c r="J146" i="1" s="1"/>
  <c r="F147" i="1"/>
  <c r="J147" i="1" s="1"/>
  <c r="F148" i="1"/>
  <c r="J148" i="1" s="1"/>
  <c r="F149" i="1"/>
  <c r="J149" i="1" s="1"/>
  <c r="F150" i="1"/>
  <c r="J150" i="1" s="1"/>
  <c r="F151" i="1"/>
  <c r="F152" i="1"/>
  <c r="F153" i="1"/>
  <c r="F154" i="1"/>
  <c r="F155" i="1"/>
  <c r="F156" i="1"/>
  <c r="F157" i="1"/>
  <c r="F158" i="1"/>
  <c r="F159" i="1"/>
  <c r="F160" i="1"/>
  <c r="F161" i="1"/>
  <c r="J161" i="1" s="1"/>
  <c r="F162" i="1"/>
  <c r="J162" i="1" s="1"/>
  <c r="F163" i="1"/>
  <c r="J163" i="1" s="1"/>
  <c r="F164" i="1"/>
  <c r="J164" i="1" s="1"/>
  <c r="F165" i="1"/>
  <c r="J165" i="1" s="1"/>
  <c r="F166" i="1"/>
  <c r="F167" i="1"/>
  <c r="J167" i="1" s="1"/>
  <c r="F168" i="1"/>
  <c r="J168" i="1" s="1"/>
  <c r="F169" i="1"/>
  <c r="J169" i="1" s="1"/>
  <c r="F170" i="1"/>
  <c r="J170" i="1" s="1"/>
  <c r="F171" i="1"/>
  <c r="F172" i="1"/>
  <c r="F173" i="1"/>
  <c r="F174" i="1"/>
  <c r="F175" i="1"/>
  <c r="J175" i="1" s="1"/>
  <c r="F176" i="1"/>
  <c r="J176" i="1" s="1"/>
  <c r="F177" i="1"/>
  <c r="J177" i="1" s="1"/>
  <c r="F178" i="1"/>
  <c r="J178" i="1" s="1"/>
  <c r="F179" i="1"/>
  <c r="J179" i="1" s="1"/>
  <c r="F180" i="1"/>
  <c r="F181" i="1"/>
  <c r="J181" i="1" s="1"/>
  <c r="F182" i="1"/>
  <c r="J182" i="1" s="1"/>
  <c r="F183" i="1"/>
  <c r="J183" i="1" s="1"/>
  <c r="F184" i="1"/>
  <c r="J184" i="1" s="1"/>
  <c r="F185" i="1"/>
  <c r="J185" i="1" s="1"/>
  <c r="F186" i="1"/>
  <c r="F187" i="1"/>
  <c r="J187" i="1" s="1"/>
  <c r="F188" i="1"/>
  <c r="J188" i="1" s="1"/>
  <c r="F189" i="1"/>
  <c r="J189" i="1" s="1"/>
  <c r="F190" i="1"/>
  <c r="J190" i="1" s="1"/>
  <c r="F191" i="1"/>
  <c r="J191" i="1" s="1"/>
  <c r="F192" i="1"/>
  <c r="F193" i="1"/>
  <c r="F194" i="1"/>
  <c r="F195" i="1"/>
  <c r="F196" i="1"/>
  <c r="J196" i="1" s="1"/>
  <c r="F197" i="1"/>
  <c r="F198" i="1"/>
  <c r="F199" i="1"/>
  <c r="J199" i="1" s="1"/>
  <c r="F200" i="1"/>
  <c r="F201" i="1"/>
  <c r="F202" i="1"/>
  <c r="F203" i="1"/>
  <c r="J203" i="1" s="1"/>
  <c r="F204" i="1"/>
  <c r="J204" i="1" s="1"/>
  <c r="F205" i="1"/>
  <c r="J205" i="1" s="1"/>
  <c r="F206" i="1"/>
  <c r="J206" i="1" s="1"/>
  <c r="F207" i="1"/>
  <c r="J207" i="1" s="1"/>
  <c r="F208" i="1"/>
  <c r="J208" i="1" s="1"/>
  <c r="F209" i="1"/>
  <c r="J209" i="1" s="1"/>
  <c r="F210" i="1"/>
  <c r="J210" i="1" s="1"/>
  <c r="F211" i="1"/>
  <c r="F212" i="1"/>
  <c r="F213" i="1"/>
  <c r="J213" i="1" s="1"/>
  <c r="F214" i="1"/>
  <c r="J214" i="1" s="1"/>
  <c r="F215" i="1"/>
  <c r="J215" i="1" s="1"/>
  <c r="F216" i="1"/>
  <c r="J216" i="1" s="1"/>
  <c r="F217" i="1"/>
  <c r="F218" i="1"/>
  <c r="F219" i="1"/>
  <c r="J219" i="1" s="1"/>
  <c r="F220" i="1"/>
  <c r="F221" i="1"/>
  <c r="J221" i="1" s="1"/>
  <c r="F222" i="1"/>
  <c r="J222" i="1" s="1"/>
  <c r="F223" i="1"/>
  <c r="J223" i="1" s="1"/>
  <c r="F224" i="1"/>
  <c r="J224" i="1" s="1"/>
  <c r="F225" i="1"/>
  <c r="J225" i="1" s="1"/>
  <c r="F226" i="1"/>
  <c r="J226" i="1" s="1"/>
  <c r="F227" i="1"/>
  <c r="J227" i="1" s="1"/>
  <c r="F228" i="1"/>
  <c r="J228" i="1" s="1"/>
  <c r="F229" i="1"/>
  <c r="J229" i="1" s="1"/>
  <c r="F230" i="1"/>
  <c r="J230" i="1" s="1"/>
  <c r="F231" i="1"/>
  <c r="F232" i="1"/>
  <c r="F233" i="1"/>
  <c r="J233" i="1" s="1"/>
  <c r="F234" i="1"/>
  <c r="J234" i="1" s="1"/>
  <c r="F235" i="1"/>
  <c r="J235" i="1" s="1"/>
  <c r="F236" i="1"/>
  <c r="F237" i="1"/>
  <c r="J237" i="1" s="1"/>
  <c r="F238" i="1"/>
  <c r="J238" i="1" s="1"/>
  <c r="F239" i="1"/>
  <c r="J239" i="1" s="1"/>
  <c r="F240" i="1"/>
  <c r="F241" i="1"/>
  <c r="F242" i="1"/>
  <c r="F243" i="1"/>
  <c r="J243" i="1" s="1"/>
  <c r="F244" i="1"/>
  <c r="J244" i="1" s="1"/>
  <c r="F245" i="1"/>
  <c r="J245" i="1" s="1"/>
  <c r="F246" i="1"/>
  <c r="J246" i="1" s="1"/>
  <c r="F247" i="1"/>
  <c r="J247" i="1" s="1"/>
  <c r="F248" i="1"/>
  <c r="J248" i="1" s="1"/>
  <c r="F249" i="1"/>
  <c r="J249" i="1" s="1"/>
  <c r="F250" i="1"/>
  <c r="J250" i="1" s="1"/>
  <c r="F251" i="1"/>
  <c r="F252" i="1"/>
  <c r="F253" i="1"/>
  <c r="J253" i="1" s="1"/>
  <c r="F254" i="1"/>
  <c r="J254" i="1" s="1"/>
  <c r="F255" i="1"/>
  <c r="J255" i="1" s="1"/>
  <c r="F256" i="1"/>
  <c r="J256" i="1" s="1"/>
  <c r="F257" i="1"/>
  <c r="J257" i="1" s="1"/>
  <c r="F258" i="1"/>
  <c r="J258" i="1" s="1"/>
  <c r="F259" i="1"/>
  <c r="J259" i="1" s="1"/>
  <c r="F260" i="1"/>
  <c r="F261" i="1"/>
  <c r="J261" i="1" s="1"/>
  <c r="F262" i="1"/>
  <c r="J262" i="1" s="1"/>
  <c r="F263" i="1"/>
  <c r="J263" i="1" s="1"/>
  <c r="F264" i="1"/>
  <c r="J264" i="1" s="1"/>
  <c r="F265" i="1"/>
  <c r="J265" i="1" s="1"/>
  <c r="F266" i="1"/>
  <c r="J266" i="1" s="1"/>
  <c r="F267" i="1"/>
  <c r="J267" i="1" s="1"/>
  <c r="F268" i="1"/>
  <c r="J268" i="1" s="1"/>
  <c r="F269" i="1"/>
  <c r="J269" i="1" s="1"/>
  <c r="F270" i="1"/>
  <c r="J270" i="1" s="1"/>
  <c r="F271" i="1"/>
  <c r="F272" i="1"/>
  <c r="F273" i="1"/>
  <c r="F274" i="1"/>
  <c r="J274" i="1" s="1"/>
  <c r="F275" i="1"/>
  <c r="J275" i="1" s="1"/>
  <c r="F276" i="1"/>
  <c r="J276" i="1" s="1"/>
  <c r="F277" i="1"/>
  <c r="F278" i="1"/>
  <c r="F279" i="1"/>
  <c r="J279" i="1" s="1"/>
  <c r="F280" i="1"/>
  <c r="F281" i="1"/>
  <c r="F282" i="1"/>
  <c r="F283" i="1"/>
  <c r="J283" i="1" s="1"/>
  <c r="F284" i="1"/>
  <c r="J284" i="1" s="1"/>
  <c r="F285" i="1"/>
  <c r="J285" i="1" s="1"/>
  <c r="F286" i="1"/>
  <c r="J286" i="1" s="1"/>
  <c r="F287" i="1"/>
  <c r="J287" i="1" s="1"/>
  <c r="F288" i="1"/>
  <c r="J288" i="1" s="1"/>
  <c r="F289" i="1"/>
  <c r="J289" i="1" s="1"/>
  <c r="F290" i="1"/>
  <c r="J290" i="1" s="1"/>
  <c r="F291" i="1"/>
  <c r="F292" i="1"/>
  <c r="F293" i="1"/>
  <c r="F294" i="1"/>
  <c r="J294" i="1" s="1"/>
  <c r="F295" i="1"/>
  <c r="J295" i="1" s="1"/>
  <c r="F296" i="1"/>
  <c r="J296" i="1" s="1"/>
  <c r="F297" i="1"/>
  <c r="J297" i="1" s="1"/>
  <c r="F298" i="1"/>
  <c r="J298" i="1" s="1"/>
  <c r="F299" i="1"/>
  <c r="J299" i="1" s="1"/>
  <c r="F300" i="1"/>
  <c r="F301" i="1"/>
  <c r="F302" i="1"/>
  <c r="F303" i="1"/>
  <c r="J303" i="1" s="1"/>
  <c r="F304" i="1"/>
  <c r="J304" i="1" s="1"/>
  <c r="F305" i="1"/>
  <c r="J305" i="1" s="1"/>
  <c r="F306" i="1"/>
  <c r="J306" i="1" s="1"/>
  <c r="F307" i="1"/>
  <c r="J307" i="1" s="1"/>
  <c r="F308" i="1"/>
  <c r="J308" i="1" s="1"/>
  <c r="F309" i="1"/>
  <c r="J309" i="1" s="1"/>
  <c r="F310" i="1"/>
  <c r="J310" i="1" s="1"/>
  <c r="F311" i="1"/>
  <c r="J311" i="1" s="1"/>
  <c r="F312" i="1"/>
  <c r="F313" i="1"/>
  <c r="J313" i="1" s="1"/>
  <c r="F314" i="1"/>
  <c r="J314" i="1" s="1"/>
  <c r="F315" i="1"/>
  <c r="J315" i="1" s="1"/>
  <c r="F316" i="1"/>
  <c r="J316" i="1" s="1"/>
  <c r="F317" i="1"/>
  <c r="J317" i="1" s="1"/>
  <c r="F318" i="1"/>
  <c r="J318" i="1" s="1"/>
  <c r="F319" i="1"/>
  <c r="F320" i="1"/>
  <c r="F321" i="1"/>
  <c r="F322" i="1"/>
  <c r="F323" i="1"/>
  <c r="J323" i="1" s="1"/>
  <c r="F324" i="1"/>
  <c r="J324" i="1" s="1"/>
  <c r="F325" i="1"/>
  <c r="J325" i="1" s="1"/>
  <c r="F326" i="1"/>
  <c r="J326" i="1" s="1"/>
  <c r="F327" i="1"/>
  <c r="J327" i="1" s="1"/>
  <c r="F328" i="1"/>
  <c r="J328" i="1" s="1"/>
  <c r="F329" i="1"/>
  <c r="J329" i="1" s="1"/>
  <c r="F330" i="1"/>
  <c r="J330" i="1" s="1"/>
  <c r="F331" i="1"/>
  <c r="J331" i="1" s="1"/>
  <c r="F332" i="1"/>
  <c r="F333" i="1"/>
  <c r="J333" i="1" s="1"/>
  <c r="F334" i="1"/>
  <c r="J334" i="1" s="1"/>
  <c r="F335" i="1"/>
  <c r="J335" i="1" s="1"/>
  <c r="F336" i="1"/>
  <c r="J336" i="1" s="1"/>
  <c r="F337" i="1"/>
  <c r="F338" i="1"/>
  <c r="F339" i="1"/>
  <c r="J339" i="1" s="1"/>
  <c r="F340" i="1"/>
  <c r="J340" i="1" s="1"/>
  <c r="F341" i="1"/>
  <c r="J341" i="1" s="1"/>
  <c r="F342" i="1"/>
  <c r="J342" i="1" s="1"/>
  <c r="F343" i="1"/>
  <c r="J343" i="1" s="1"/>
  <c r="F344" i="1"/>
  <c r="J344" i="1" s="1"/>
  <c r="F345" i="1"/>
  <c r="J345" i="1" s="1"/>
  <c r="F346" i="1"/>
  <c r="J346" i="1" s="1"/>
  <c r="F347" i="1"/>
  <c r="J347" i="1" s="1"/>
  <c r="F348" i="1"/>
  <c r="J348" i="1" s="1"/>
  <c r="F349" i="1"/>
  <c r="J349" i="1" s="1"/>
  <c r="F350" i="1"/>
  <c r="J350" i="1" s="1"/>
  <c r="F351" i="1"/>
  <c r="F352" i="1"/>
  <c r="F353" i="1"/>
  <c r="F354" i="1"/>
  <c r="J354" i="1" s="1"/>
  <c r="F355" i="1"/>
  <c r="J355" i="1" s="1"/>
  <c r="F356" i="1"/>
  <c r="J356" i="1" s="1"/>
  <c r="F357" i="1"/>
  <c r="J357" i="1" s="1"/>
  <c r="F358" i="1"/>
  <c r="J358" i="1" s="1"/>
  <c r="F359" i="1"/>
  <c r="J359" i="1" s="1"/>
  <c r="F360" i="1"/>
  <c r="F361" i="1"/>
  <c r="J361" i="1" s="1"/>
  <c r="F362" i="1"/>
  <c r="J362" i="1" s="1"/>
  <c r="F363" i="1"/>
  <c r="J363" i="1" s="1"/>
  <c r="F364" i="1"/>
  <c r="J364" i="1" s="1"/>
  <c r="F365" i="1"/>
  <c r="J365" i="1" s="1"/>
  <c r="F366" i="1"/>
  <c r="J366" i="1" s="1"/>
  <c r="F367" i="1"/>
  <c r="J367" i="1" s="1"/>
  <c r="F368" i="1"/>
  <c r="J368" i="1" s="1"/>
  <c r="F369" i="1"/>
  <c r="J369" i="1" s="1"/>
  <c r="F370" i="1"/>
  <c r="J370" i="1" s="1"/>
  <c r="F371" i="1"/>
  <c r="F372" i="1"/>
  <c r="F373" i="1"/>
  <c r="F374" i="1"/>
  <c r="J374" i="1" s="1"/>
  <c r="F375" i="1"/>
  <c r="J375" i="1" s="1"/>
  <c r="F376" i="1"/>
  <c r="J376" i="1" s="1"/>
  <c r="F377" i="1"/>
  <c r="J377" i="1" s="1"/>
  <c r="F378" i="1"/>
  <c r="J378" i="1" s="1"/>
  <c r="F379" i="1"/>
  <c r="J379" i="1" s="1"/>
  <c r="F380" i="1"/>
  <c r="F381" i="1"/>
  <c r="F382" i="1"/>
  <c r="F383" i="1"/>
  <c r="J383" i="1" s="1"/>
  <c r="F19" i="1"/>
  <c r="J19" i="1" s="1"/>
  <c r="F18" i="1"/>
  <c r="J166" i="1"/>
  <c r="J186" i="1"/>
  <c r="J20" i="1"/>
  <c r="J31" i="1"/>
  <c r="J32" i="1"/>
  <c r="J33" i="1"/>
  <c r="J35" i="1"/>
  <c r="J40" i="1"/>
  <c r="J51" i="1"/>
  <c r="J52" i="1"/>
  <c r="J53" i="1"/>
  <c r="J60" i="1"/>
  <c r="J71" i="1"/>
  <c r="J72" i="1"/>
  <c r="J73" i="1"/>
  <c r="J74" i="1"/>
  <c r="J75" i="1"/>
  <c r="J76" i="1"/>
  <c r="J77" i="1"/>
  <c r="J78" i="1"/>
  <c r="J80" i="1"/>
  <c r="J91" i="1"/>
  <c r="J92" i="1"/>
  <c r="J93" i="1"/>
  <c r="J94" i="1"/>
  <c r="J97" i="1"/>
  <c r="J98" i="1"/>
  <c r="J100" i="1"/>
  <c r="J111" i="1"/>
  <c r="J112" i="1"/>
  <c r="J113" i="1"/>
  <c r="J114" i="1"/>
  <c r="J115" i="1"/>
  <c r="J116" i="1"/>
  <c r="J117" i="1"/>
  <c r="J118" i="1"/>
  <c r="J119" i="1"/>
  <c r="J120" i="1"/>
  <c r="J131" i="1"/>
  <c r="J132" i="1"/>
  <c r="J133" i="1"/>
  <c r="J134" i="1"/>
  <c r="J140" i="1"/>
  <c r="J151" i="1"/>
  <c r="J152" i="1"/>
  <c r="J153" i="1"/>
  <c r="J154" i="1"/>
  <c r="J155" i="1"/>
  <c r="J156" i="1"/>
  <c r="J157" i="1"/>
  <c r="J158" i="1"/>
  <c r="J159" i="1"/>
  <c r="J160" i="1"/>
  <c r="J171" i="1"/>
  <c r="J172" i="1"/>
  <c r="J173" i="1"/>
  <c r="J174" i="1"/>
  <c r="J180" i="1"/>
  <c r="J192" i="1"/>
  <c r="J193" i="1"/>
  <c r="J194" i="1"/>
  <c r="J195" i="1"/>
  <c r="J197" i="1"/>
  <c r="J198" i="1"/>
  <c r="J200" i="1"/>
  <c r="J201" i="1"/>
  <c r="J202" i="1"/>
  <c r="J211" i="1"/>
  <c r="J212" i="1"/>
  <c r="J217" i="1"/>
  <c r="J218" i="1"/>
  <c r="J220" i="1"/>
  <c r="J231" i="1"/>
  <c r="J232" i="1"/>
  <c r="J236" i="1"/>
  <c r="J240" i="1"/>
  <c r="J241" i="1"/>
  <c r="J242" i="1"/>
  <c r="J251" i="1"/>
  <c r="J252" i="1"/>
  <c r="J260" i="1"/>
  <c r="J271" i="1"/>
  <c r="J272" i="1"/>
  <c r="J273" i="1"/>
  <c r="J277" i="1"/>
  <c r="J278" i="1"/>
  <c r="J280" i="1"/>
  <c r="J281" i="1"/>
  <c r="J282" i="1"/>
  <c r="J291" i="1"/>
  <c r="J292" i="1"/>
  <c r="J293" i="1"/>
  <c r="J300" i="1"/>
  <c r="J301" i="1"/>
  <c r="J302" i="1"/>
  <c r="J312" i="1"/>
  <c r="J319" i="1"/>
  <c r="J320" i="1"/>
  <c r="J321" i="1"/>
  <c r="J322" i="1"/>
  <c r="J332" i="1"/>
  <c r="J337" i="1"/>
  <c r="J338" i="1"/>
  <c r="J351" i="1"/>
  <c r="J352" i="1"/>
  <c r="J353" i="1"/>
  <c r="J360" i="1"/>
  <c r="J371" i="1"/>
  <c r="J372" i="1"/>
  <c r="J373" i="1"/>
  <c r="J380" i="1"/>
  <c r="J381" i="1"/>
  <c r="J382" i="1"/>
  <c r="E18" i="1"/>
  <c r="G18" i="1" s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J18" i="1"/>
  <c r="H18" i="1" l="1"/>
</calcChain>
</file>

<file path=xl/sharedStrings.xml><?xml version="1.0" encoding="utf-8"?>
<sst xmlns="http://schemas.openxmlformats.org/spreadsheetml/2006/main" count="30" uniqueCount="29">
  <si>
    <t>-&gt; for i</t>
  </si>
  <si>
    <t>date</t>
  </si>
  <si>
    <t>inventory</t>
  </si>
  <si>
    <t>spot</t>
  </si>
  <si>
    <t>initial inventory</t>
  </si>
  <si>
    <t>max_inj</t>
  </si>
  <si>
    <t>max_wit</t>
  </si>
  <si>
    <t>room_to_fill = max_inv - inv</t>
  </si>
  <si>
    <t>room_to_empty = inv - min_inv</t>
  </si>
  <si>
    <t>min_inv</t>
  </si>
  <si>
    <t>max_inv</t>
  </si>
  <si>
    <t>fwd_ref = self._fwd_ref</t>
  </si>
  <si>
    <t>spread = fwd_ref - spot</t>
  </si>
  <si>
    <t>prices 1</t>
  </si>
  <si>
    <t>prices 2</t>
  </si>
  <si>
    <t>-&gt; for p</t>
  </si>
  <si>
    <t>dead band</t>
  </si>
  <si>
    <t>terminal penalty</t>
  </si>
  <si>
    <t>net volumes</t>
  </si>
  <si>
    <t>cash flow (rfr=0)</t>
  </si>
  <si>
    <t>cost_inj</t>
  </si>
  <si>
    <t>cost_wdr</t>
  </si>
  <si>
    <t>injection</t>
  </si>
  <si>
    <t>withdrawal</t>
  </si>
  <si>
    <t>terminal inventory</t>
  </si>
  <si>
    <t>total</t>
  </si>
  <si>
    <t>Date</t>
  </si>
  <si>
    <t>Forward_Price</t>
  </si>
  <si>
    <t>Is_Pillar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</si>
</sst>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171" fontId="0" fillId="0" borderId="0" xfId="0" applyNumberFormat="1"/>
    <xf numFmtId="171" fontId="0" fillId="33" borderId="8" xfId="15" applyNumberFormat="1" applyFont="1" applyFill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price_paths_test_n2!$B$17</c:f>
              <c:strCache>
                <c:ptCount val="1"/>
                <c:pt idx="0">
                  <c:v>prices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price_paths_test_n2!$A$18:$A$383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cat>
          <c:val>
            <c:numRef>
              <c:f>price_paths_test_n2!$B$18:$B$383</c:f>
              <c:numCache>
                <c:formatCode>0.000</c:formatCode>
                <c:ptCount val="366"/>
                <c:pt idx="0">
                  <c:v>34.999999999999901</c:v>
                </c:pt>
                <c:pt idx="1">
                  <c:v>35.000556525712199</c:v>
                </c:pt>
                <c:pt idx="2">
                  <c:v>34.998654128913103</c:v>
                </c:pt>
                <c:pt idx="3">
                  <c:v>35.000032042257601</c:v>
                </c:pt>
                <c:pt idx="4">
                  <c:v>35.0017497152282</c:v>
                </c:pt>
                <c:pt idx="5">
                  <c:v>34.9981768833673</c:v>
                </c:pt>
                <c:pt idx="6">
                  <c:v>34.995808801788499</c:v>
                </c:pt>
                <c:pt idx="7">
                  <c:v>34.996065142274297</c:v>
                </c:pt>
                <c:pt idx="8">
                  <c:v>34.995509126685903</c:v>
                </c:pt>
                <c:pt idx="9">
                  <c:v>34.995502967666603</c:v>
                </c:pt>
                <c:pt idx="10">
                  <c:v>34.993969796689598</c:v>
                </c:pt>
                <c:pt idx="11">
                  <c:v>34.995608576959697</c:v>
                </c:pt>
                <c:pt idx="12">
                  <c:v>34.9970529309253</c:v>
                </c:pt>
                <c:pt idx="13">
                  <c:v>34.997189608965201</c:v>
                </c:pt>
                <c:pt idx="14">
                  <c:v>34.999263592895701</c:v>
                </c:pt>
                <c:pt idx="15">
                  <c:v>35.000121444330802</c:v>
                </c:pt>
                <c:pt idx="16">
                  <c:v>34.998551438610697</c:v>
                </c:pt>
                <c:pt idx="17">
                  <c:v>34.999232796925298</c:v>
                </c:pt>
                <c:pt idx="18">
                  <c:v>34.997485809194998</c:v>
                </c:pt>
                <c:pt idx="19">
                  <c:v>34.999103821499098</c:v>
                </c:pt>
                <c:pt idx="20">
                  <c:v>34.9990175352807</c:v>
                </c:pt>
                <c:pt idx="21">
                  <c:v>34.998685287105999</c:v>
                </c:pt>
                <c:pt idx="22">
                  <c:v>34.997448916361201</c:v>
                </c:pt>
                <c:pt idx="23">
                  <c:v>34.999695549399298</c:v>
                </c:pt>
                <c:pt idx="24">
                  <c:v>34.999414989943297</c:v>
                </c:pt>
                <c:pt idx="25">
                  <c:v>34.9986359279753</c:v>
                </c:pt>
                <c:pt idx="26">
                  <c:v>34.998000286952603</c:v>
                </c:pt>
                <c:pt idx="27">
                  <c:v>34.998983349872198</c:v>
                </c:pt>
                <c:pt idx="28">
                  <c:v>34.9996563187986</c:v>
                </c:pt>
                <c:pt idx="29">
                  <c:v>35.000411992194998</c:v>
                </c:pt>
                <c:pt idx="30">
                  <c:v>35.001196592161399</c:v>
                </c:pt>
                <c:pt idx="31">
                  <c:v>35.005101816218001</c:v>
                </c:pt>
                <c:pt idx="32">
                  <c:v>35.0043315970563</c:v>
                </c:pt>
                <c:pt idx="33">
                  <c:v>35.003372302634403</c:v>
                </c:pt>
                <c:pt idx="34">
                  <c:v>35.001867538474698</c:v>
                </c:pt>
                <c:pt idx="35">
                  <c:v>35.002982414392001</c:v>
                </c:pt>
                <c:pt idx="36">
                  <c:v>35.005028266175401</c:v>
                </c:pt>
                <c:pt idx="37">
                  <c:v>35.004792668651397</c:v>
                </c:pt>
                <c:pt idx="38">
                  <c:v>35.003231896812501</c:v>
                </c:pt>
                <c:pt idx="39">
                  <c:v>35.0017083469235</c:v>
                </c:pt>
                <c:pt idx="40">
                  <c:v>35.002887308518602</c:v>
                </c:pt>
                <c:pt idx="41">
                  <c:v>35.004229124037401</c:v>
                </c:pt>
                <c:pt idx="42">
                  <c:v>35.0051981538085</c:v>
                </c:pt>
                <c:pt idx="43">
                  <c:v>35.003954151153799</c:v>
                </c:pt>
                <c:pt idx="44">
                  <c:v>35.004356616354002</c:v>
                </c:pt>
                <c:pt idx="45">
                  <c:v>35.004545961181002</c:v>
                </c:pt>
                <c:pt idx="46">
                  <c:v>35.004920591965401</c:v>
                </c:pt>
                <c:pt idx="47">
                  <c:v>35.006485516268697</c:v>
                </c:pt>
                <c:pt idx="48">
                  <c:v>35.006858539592002</c:v>
                </c:pt>
                <c:pt idx="49">
                  <c:v>35.008061283445798</c:v>
                </c:pt>
                <c:pt idx="50">
                  <c:v>35.008140709653702</c:v>
                </c:pt>
                <c:pt idx="51">
                  <c:v>35.008624410764803</c:v>
                </c:pt>
                <c:pt idx="52">
                  <c:v>35.009730566737602</c:v>
                </c:pt>
                <c:pt idx="53">
                  <c:v>35.007015506183599</c:v>
                </c:pt>
                <c:pt idx="54">
                  <c:v>35.006393248177297</c:v>
                </c:pt>
                <c:pt idx="55">
                  <c:v>35.0054991206135</c:v>
                </c:pt>
                <c:pt idx="56">
                  <c:v>35.0043021089635</c:v>
                </c:pt>
                <c:pt idx="57">
                  <c:v>35.003776049840901</c:v>
                </c:pt>
                <c:pt idx="58">
                  <c:v>35.006486120372003</c:v>
                </c:pt>
                <c:pt idx="59">
                  <c:v>35.004869128185</c:v>
                </c:pt>
                <c:pt idx="60">
                  <c:v>35.006611245816103</c:v>
                </c:pt>
                <c:pt idx="61">
                  <c:v>35.0035011816205</c:v>
                </c:pt>
                <c:pt idx="62">
                  <c:v>35.002870387485402</c:v>
                </c:pt>
                <c:pt idx="63">
                  <c:v>35.003151982648497</c:v>
                </c:pt>
                <c:pt idx="64">
                  <c:v>35.004205531556302</c:v>
                </c:pt>
                <c:pt idx="65">
                  <c:v>35.005481695794899</c:v>
                </c:pt>
                <c:pt idx="66">
                  <c:v>35.006900948027301</c:v>
                </c:pt>
                <c:pt idx="67">
                  <c:v>35.006226245508699</c:v>
                </c:pt>
                <c:pt idx="68">
                  <c:v>35.0053476853113</c:v>
                </c:pt>
                <c:pt idx="69">
                  <c:v>35.006885721749903</c:v>
                </c:pt>
                <c:pt idx="70">
                  <c:v>35.006498660898998</c:v>
                </c:pt>
                <c:pt idx="71">
                  <c:v>35.004132962520202</c:v>
                </c:pt>
                <c:pt idx="72">
                  <c:v>35.002040426555098</c:v>
                </c:pt>
                <c:pt idx="73">
                  <c:v>35.000349981470897</c:v>
                </c:pt>
                <c:pt idx="74">
                  <c:v>35.001256082675297</c:v>
                </c:pt>
                <c:pt idx="75">
                  <c:v>35.001509353493198</c:v>
                </c:pt>
                <c:pt idx="76">
                  <c:v>35.002762258696002</c:v>
                </c:pt>
                <c:pt idx="77">
                  <c:v>35.001966806964802</c:v>
                </c:pt>
                <c:pt idx="78">
                  <c:v>35.002245633443302</c:v>
                </c:pt>
                <c:pt idx="79">
                  <c:v>35.003376011375202</c:v>
                </c:pt>
                <c:pt idx="80">
                  <c:v>35.002792549020903</c:v>
                </c:pt>
                <c:pt idx="81">
                  <c:v>35.003611608507399</c:v>
                </c:pt>
                <c:pt idx="82">
                  <c:v>35.002382871109702</c:v>
                </c:pt>
                <c:pt idx="83">
                  <c:v>35.001706754940201</c:v>
                </c:pt>
                <c:pt idx="84">
                  <c:v>35.001000219138298</c:v>
                </c:pt>
                <c:pt idx="85">
                  <c:v>34.998810736557601</c:v>
                </c:pt>
                <c:pt idx="86">
                  <c:v>34.999706596133898</c:v>
                </c:pt>
                <c:pt idx="87">
                  <c:v>34.998850921087097</c:v>
                </c:pt>
                <c:pt idx="88">
                  <c:v>34.998880013749996</c:v>
                </c:pt>
                <c:pt idx="89">
                  <c:v>34.999764126304498</c:v>
                </c:pt>
                <c:pt idx="90">
                  <c:v>35.000580942423298</c:v>
                </c:pt>
                <c:pt idx="91">
                  <c:v>35.001793040002497</c:v>
                </c:pt>
                <c:pt idx="92">
                  <c:v>35.001603370362297</c:v>
                </c:pt>
                <c:pt idx="93">
                  <c:v>35.000821495287397</c:v>
                </c:pt>
                <c:pt idx="94">
                  <c:v>35.000671412488103</c:v>
                </c:pt>
                <c:pt idx="95">
                  <c:v>34.997586152758103</c:v>
                </c:pt>
                <c:pt idx="96">
                  <c:v>34.994956674954402</c:v>
                </c:pt>
                <c:pt idx="97">
                  <c:v>34.9925689249404</c:v>
                </c:pt>
                <c:pt idx="98">
                  <c:v>34.990788605936899</c:v>
                </c:pt>
                <c:pt idx="99">
                  <c:v>34.991568846158998</c:v>
                </c:pt>
                <c:pt idx="100">
                  <c:v>34.989961590824699</c:v>
                </c:pt>
                <c:pt idx="101">
                  <c:v>34.989325945209799</c:v>
                </c:pt>
                <c:pt idx="102">
                  <c:v>34.991756436212803</c:v>
                </c:pt>
                <c:pt idx="103">
                  <c:v>34.991150941172897</c:v>
                </c:pt>
                <c:pt idx="104">
                  <c:v>34.992545909282398</c:v>
                </c:pt>
                <c:pt idx="105">
                  <c:v>34.990881896013001</c:v>
                </c:pt>
                <c:pt idx="106">
                  <c:v>34.990556578629601</c:v>
                </c:pt>
                <c:pt idx="107">
                  <c:v>34.988873571662097</c:v>
                </c:pt>
                <c:pt idx="108">
                  <c:v>34.988315327351401</c:v>
                </c:pt>
                <c:pt idx="109">
                  <c:v>34.989913347973499</c:v>
                </c:pt>
                <c:pt idx="110">
                  <c:v>34.986814768217499</c:v>
                </c:pt>
                <c:pt idx="111">
                  <c:v>34.987679878942899</c:v>
                </c:pt>
                <c:pt idx="112">
                  <c:v>34.988181184191603</c:v>
                </c:pt>
                <c:pt idx="113">
                  <c:v>34.987160965835201</c:v>
                </c:pt>
                <c:pt idx="114">
                  <c:v>34.984591113062599</c:v>
                </c:pt>
                <c:pt idx="115">
                  <c:v>34.984806915111598</c:v>
                </c:pt>
                <c:pt idx="116">
                  <c:v>34.983923252308102</c:v>
                </c:pt>
                <c:pt idx="117">
                  <c:v>34.9844357807495</c:v>
                </c:pt>
                <c:pt idx="118">
                  <c:v>34.984560646191703</c:v>
                </c:pt>
                <c:pt idx="119">
                  <c:v>34.987569192174199</c:v>
                </c:pt>
                <c:pt idx="120">
                  <c:v>34.987200070569401</c:v>
                </c:pt>
                <c:pt idx="121">
                  <c:v>34.985401415846702</c:v>
                </c:pt>
                <c:pt idx="122">
                  <c:v>34.985808404841102</c:v>
                </c:pt>
                <c:pt idx="123">
                  <c:v>34.986287517909702</c:v>
                </c:pt>
                <c:pt idx="124">
                  <c:v>34.988843862137102</c:v>
                </c:pt>
                <c:pt idx="125">
                  <c:v>34.9904295317858</c:v>
                </c:pt>
                <c:pt idx="126">
                  <c:v>34.991133388230899</c:v>
                </c:pt>
                <c:pt idx="127">
                  <c:v>34.993853738276599</c:v>
                </c:pt>
                <c:pt idx="128">
                  <c:v>34.991716642694001</c:v>
                </c:pt>
                <c:pt idx="129">
                  <c:v>34.990593752286998</c:v>
                </c:pt>
                <c:pt idx="130">
                  <c:v>34.9889533479097</c:v>
                </c:pt>
                <c:pt idx="131">
                  <c:v>34.988301961284002</c:v>
                </c:pt>
                <c:pt idx="132">
                  <c:v>34.985852440242802</c:v>
                </c:pt>
                <c:pt idx="133">
                  <c:v>34.987089244234497</c:v>
                </c:pt>
                <c:pt idx="134">
                  <c:v>34.986754027458701</c:v>
                </c:pt>
                <c:pt idx="135">
                  <c:v>34.984141247619696</c:v>
                </c:pt>
                <c:pt idx="136">
                  <c:v>34.982373906528501</c:v>
                </c:pt>
                <c:pt idx="137">
                  <c:v>34.983042439085096</c:v>
                </c:pt>
                <c:pt idx="138">
                  <c:v>34.985572606045402</c:v>
                </c:pt>
                <c:pt idx="139">
                  <c:v>34.991107932061801</c:v>
                </c:pt>
                <c:pt idx="140">
                  <c:v>34.999188169567198</c:v>
                </c:pt>
                <c:pt idx="141">
                  <c:v>35.003555886609803</c:v>
                </c:pt>
                <c:pt idx="142">
                  <c:v>35.006226881287297</c:v>
                </c:pt>
                <c:pt idx="143">
                  <c:v>35.007683480380798</c:v>
                </c:pt>
                <c:pt idx="144">
                  <c:v>35.014399562729601</c:v>
                </c:pt>
                <c:pt idx="145">
                  <c:v>35.0199846925602</c:v>
                </c:pt>
                <c:pt idx="146">
                  <c:v>35.027142259900401</c:v>
                </c:pt>
                <c:pt idx="147">
                  <c:v>35.034774114996097</c:v>
                </c:pt>
                <c:pt idx="148">
                  <c:v>35.0440956342782</c:v>
                </c:pt>
                <c:pt idx="149">
                  <c:v>35.056440385319497</c:v>
                </c:pt>
                <c:pt idx="150">
                  <c:v>35.067919437075901</c:v>
                </c:pt>
                <c:pt idx="151">
                  <c:v>35.0796187661809</c:v>
                </c:pt>
                <c:pt idx="152">
                  <c:v>35.090505725204203</c:v>
                </c:pt>
                <c:pt idx="153">
                  <c:v>35.101016133213697</c:v>
                </c:pt>
                <c:pt idx="154">
                  <c:v>35.114496216791203</c:v>
                </c:pt>
                <c:pt idx="155">
                  <c:v>35.129543878093003</c:v>
                </c:pt>
                <c:pt idx="156">
                  <c:v>35.148696733856902</c:v>
                </c:pt>
                <c:pt idx="157">
                  <c:v>35.165586935476</c:v>
                </c:pt>
                <c:pt idx="158">
                  <c:v>35.184791553720899</c:v>
                </c:pt>
                <c:pt idx="159">
                  <c:v>35.202009672532398</c:v>
                </c:pt>
                <c:pt idx="160">
                  <c:v>35.218709245278497</c:v>
                </c:pt>
                <c:pt idx="161">
                  <c:v>35.236553716788201</c:v>
                </c:pt>
                <c:pt idx="162">
                  <c:v>35.255572001825797</c:v>
                </c:pt>
                <c:pt idx="163">
                  <c:v>35.280567811375498</c:v>
                </c:pt>
                <c:pt idx="164">
                  <c:v>35.300825702329298</c:v>
                </c:pt>
                <c:pt idx="165">
                  <c:v>35.324856164130502</c:v>
                </c:pt>
                <c:pt idx="166">
                  <c:v>35.3463689251506</c:v>
                </c:pt>
                <c:pt idx="167">
                  <c:v>35.371969513106897</c:v>
                </c:pt>
                <c:pt idx="168">
                  <c:v>35.396439045610897</c:v>
                </c:pt>
                <c:pt idx="169">
                  <c:v>35.419790734607403</c:v>
                </c:pt>
                <c:pt idx="170">
                  <c:v>35.443244494646798</c:v>
                </c:pt>
                <c:pt idx="171">
                  <c:v>35.465449224189598</c:v>
                </c:pt>
                <c:pt idx="172">
                  <c:v>35.489585122195002</c:v>
                </c:pt>
                <c:pt idx="173">
                  <c:v>35.511935755259699</c:v>
                </c:pt>
                <c:pt idx="174">
                  <c:v>35.532749417314697</c:v>
                </c:pt>
                <c:pt idx="175">
                  <c:v>35.553364432979897</c:v>
                </c:pt>
                <c:pt idx="176">
                  <c:v>35.576571450207197</c:v>
                </c:pt>
                <c:pt idx="177">
                  <c:v>35.602279644906503</c:v>
                </c:pt>
                <c:pt idx="178">
                  <c:v>35.625227704396401</c:v>
                </c:pt>
                <c:pt idx="179">
                  <c:v>35.647546825567801</c:v>
                </c:pt>
                <c:pt idx="180">
                  <c:v>35.670510775326903</c:v>
                </c:pt>
                <c:pt idx="181">
                  <c:v>35.695264160511996</c:v>
                </c:pt>
                <c:pt idx="182">
                  <c:v>35.717874097553199</c:v>
                </c:pt>
                <c:pt idx="183">
                  <c:v>35.739199271289401</c:v>
                </c:pt>
                <c:pt idx="184">
                  <c:v>35.763251910468298</c:v>
                </c:pt>
                <c:pt idx="185">
                  <c:v>35.785924037364197</c:v>
                </c:pt>
                <c:pt idx="186">
                  <c:v>35.810555148305603</c:v>
                </c:pt>
                <c:pt idx="187">
                  <c:v>35.832539539552101</c:v>
                </c:pt>
                <c:pt idx="188">
                  <c:v>35.851783635378901</c:v>
                </c:pt>
                <c:pt idx="189">
                  <c:v>35.870663936556603</c:v>
                </c:pt>
                <c:pt idx="190">
                  <c:v>35.895105491055503</c:v>
                </c:pt>
                <c:pt idx="191">
                  <c:v>35.919566429426602</c:v>
                </c:pt>
                <c:pt idx="192">
                  <c:v>35.940340872623899</c:v>
                </c:pt>
                <c:pt idx="193">
                  <c:v>35.960631607468699</c:v>
                </c:pt>
                <c:pt idx="194">
                  <c:v>35.984286428770801</c:v>
                </c:pt>
                <c:pt idx="195">
                  <c:v>36.003001784479999</c:v>
                </c:pt>
                <c:pt idx="196">
                  <c:v>36.022023684742599</c:v>
                </c:pt>
                <c:pt idx="197">
                  <c:v>36.0438443709876</c:v>
                </c:pt>
                <c:pt idx="198">
                  <c:v>36.063605720258401</c:v>
                </c:pt>
                <c:pt idx="199">
                  <c:v>36.084003261725499</c:v>
                </c:pt>
                <c:pt idx="200">
                  <c:v>36.104002587924803</c:v>
                </c:pt>
                <c:pt idx="201">
                  <c:v>36.124848127716703</c:v>
                </c:pt>
                <c:pt idx="202">
                  <c:v>36.147609816422303</c:v>
                </c:pt>
                <c:pt idx="203">
                  <c:v>36.167775981576597</c:v>
                </c:pt>
                <c:pt idx="204">
                  <c:v>36.1888881170131</c:v>
                </c:pt>
                <c:pt idx="205">
                  <c:v>36.204807054097103</c:v>
                </c:pt>
                <c:pt idx="206">
                  <c:v>36.224429050982401</c:v>
                </c:pt>
                <c:pt idx="207">
                  <c:v>36.242451843124201</c:v>
                </c:pt>
                <c:pt idx="208">
                  <c:v>36.259674469266002</c:v>
                </c:pt>
                <c:pt idx="209">
                  <c:v>36.2774560341796</c:v>
                </c:pt>
                <c:pt idx="210">
                  <c:v>36.296179518455403</c:v>
                </c:pt>
                <c:pt idx="211">
                  <c:v>36.317179173391501</c:v>
                </c:pt>
                <c:pt idx="212">
                  <c:v>36.333824665089701</c:v>
                </c:pt>
                <c:pt idx="213">
                  <c:v>36.3529609479315</c:v>
                </c:pt>
                <c:pt idx="214">
                  <c:v>36.371025676919601</c:v>
                </c:pt>
                <c:pt idx="215">
                  <c:v>36.389297824426798</c:v>
                </c:pt>
                <c:pt idx="216">
                  <c:v>36.410006935535201</c:v>
                </c:pt>
                <c:pt idx="217">
                  <c:v>36.429731371630602</c:v>
                </c:pt>
                <c:pt idx="218">
                  <c:v>36.450878950183899</c:v>
                </c:pt>
                <c:pt idx="219">
                  <c:v>36.469084000146303</c:v>
                </c:pt>
                <c:pt idx="220">
                  <c:v>36.4861677962611</c:v>
                </c:pt>
                <c:pt idx="221">
                  <c:v>36.504065471990501</c:v>
                </c:pt>
                <c:pt idx="222">
                  <c:v>36.522762897164803</c:v>
                </c:pt>
                <c:pt idx="223">
                  <c:v>36.541242017545301</c:v>
                </c:pt>
                <c:pt idx="224">
                  <c:v>36.557223996710498</c:v>
                </c:pt>
                <c:pt idx="225">
                  <c:v>36.575367890579102</c:v>
                </c:pt>
                <c:pt idx="226">
                  <c:v>36.593684649742698</c:v>
                </c:pt>
                <c:pt idx="227">
                  <c:v>36.6162842713346</c:v>
                </c:pt>
                <c:pt idx="228">
                  <c:v>36.637549546982498</c:v>
                </c:pt>
                <c:pt idx="229">
                  <c:v>36.653488911906997</c:v>
                </c:pt>
                <c:pt idx="230">
                  <c:v>36.670430882238897</c:v>
                </c:pt>
                <c:pt idx="231">
                  <c:v>36.685036726930598</c:v>
                </c:pt>
                <c:pt idx="232">
                  <c:v>36.701239943541403</c:v>
                </c:pt>
                <c:pt idx="233">
                  <c:v>36.719098283346703</c:v>
                </c:pt>
                <c:pt idx="234">
                  <c:v>36.738574356285802</c:v>
                </c:pt>
                <c:pt idx="235">
                  <c:v>36.754243130504499</c:v>
                </c:pt>
                <c:pt idx="236">
                  <c:v>36.769976752825201</c:v>
                </c:pt>
                <c:pt idx="237">
                  <c:v>36.782765116115002</c:v>
                </c:pt>
                <c:pt idx="238">
                  <c:v>36.799298820728502</c:v>
                </c:pt>
                <c:pt idx="239">
                  <c:v>36.814021141490898</c:v>
                </c:pt>
                <c:pt idx="240">
                  <c:v>36.829693182575497</c:v>
                </c:pt>
                <c:pt idx="241">
                  <c:v>36.844618298411199</c:v>
                </c:pt>
                <c:pt idx="242">
                  <c:v>36.860973178654099</c:v>
                </c:pt>
                <c:pt idx="243">
                  <c:v>36.874045061724502</c:v>
                </c:pt>
                <c:pt idx="244">
                  <c:v>36.887609678342997</c:v>
                </c:pt>
                <c:pt idx="245">
                  <c:v>36.908030685944702</c:v>
                </c:pt>
                <c:pt idx="246">
                  <c:v>36.921768130415202</c:v>
                </c:pt>
                <c:pt idx="247">
                  <c:v>36.935803055377399</c:v>
                </c:pt>
                <c:pt idx="248">
                  <c:v>36.955423517023398</c:v>
                </c:pt>
                <c:pt idx="249">
                  <c:v>36.977008137374099</c:v>
                </c:pt>
                <c:pt idx="250">
                  <c:v>36.990617725545803</c:v>
                </c:pt>
                <c:pt idx="251">
                  <c:v>37.005709149501598</c:v>
                </c:pt>
                <c:pt idx="252">
                  <c:v>37.022095494565903</c:v>
                </c:pt>
                <c:pt idx="253">
                  <c:v>37.041080610342298</c:v>
                </c:pt>
                <c:pt idx="254">
                  <c:v>37.054720615209497</c:v>
                </c:pt>
                <c:pt idx="255">
                  <c:v>37.069725567488497</c:v>
                </c:pt>
                <c:pt idx="256">
                  <c:v>37.086633559376601</c:v>
                </c:pt>
                <c:pt idx="257">
                  <c:v>37.102793617916703</c:v>
                </c:pt>
                <c:pt idx="258">
                  <c:v>37.117301756395797</c:v>
                </c:pt>
                <c:pt idx="259">
                  <c:v>37.132205841917603</c:v>
                </c:pt>
                <c:pt idx="260">
                  <c:v>37.144628870904398</c:v>
                </c:pt>
                <c:pt idx="261">
                  <c:v>37.159192249379203</c:v>
                </c:pt>
                <c:pt idx="262">
                  <c:v>37.1736270358534</c:v>
                </c:pt>
                <c:pt idx="263">
                  <c:v>37.188956035712899</c:v>
                </c:pt>
                <c:pt idx="264">
                  <c:v>37.202678803086798</c:v>
                </c:pt>
                <c:pt idx="265">
                  <c:v>37.218325888907501</c:v>
                </c:pt>
                <c:pt idx="266">
                  <c:v>37.234945537501098</c:v>
                </c:pt>
                <c:pt idx="267">
                  <c:v>37.249815400881197</c:v>
                </c:pt>
                <c:pt idx="268">
                  <c:v>37.264991718464103</c:v>
                </c:pt>
                <c:pt idx="269">
                  <c:v>37.279510420831201</c:v>
                </c:pt>
                <c:pt idx="270">
                  <c:v>37.2938521717954</c:v>
                </c:pt>
                <c:pt idx="271">
                  <c:v>37.306716214783698</c:v>
                </c:pt>
                <c:pt idx="272">
                  <c:v>37.321535958973101</c:v>
                </c:pt>
                <c:pt idx="273">
                  <c:v>37.335474469305602</c:v>
                </c:pt>
                <c:pt idx="274">
                  <c:v>37.353611351349301</c:v>
                </c:pt>
                <c:pt idx="275">
                  <c:v>37.370644251133101</c:v>
                </c:pt>
                <c:pt idx="276">
                  <c:v>37.3852751535305</c:v>
                </c:pt>
                <c:pt idx="277">
                  <c:v>37.397589730107399</c:v>
                </c:pt>
                <c:pt idx="278">
                  <c:v>37.409159113823598</c:v>
                </c:pt>
                <c:pt idx="279">
                  <c:v>37.425167218187099</c:v>
                </c:pt>
                <c:pt idx="280">
                  <c:v>37.439280910026703</c:v>
                </c:pt>
                <c:pt idx="281">
                  <c:v>37.453747681269199</c:v>
                </c:pt>
                <c:pt idx="282">
                  <c:v>37.463791580401498</c:v>
                </c:pt>
                <c:pt idx="283">
                  <c:v>37.479008651501204</c:v>
                </c:pt>
                <c:pt idx="284">
                  <c:v>37.493223306691803</c:v>
                </c:pt>
                <c:pt idx="285">
                  <c:v>37.504303097135399</c:v>
                </c:pt>
                <c:pt idx="286">
                  <c:v>37.516576379120501</c:v>
                </c:pt>
                <c:pt idx="287">
                  <c:v>37.530226483000902</c:v>
                </c:pt>
                <c:pt idx="288">
                  <c:v>37.543393116024497</c:v>
                </c:pt>
                <c:pt idx="289">
                  <c:v>37.555817030746098</c:v>
                </c:pt>
                <c:pt idx="290">
                  <c:v>37.568547068769902</c:v>
                </c:pt>
                <c:pt idx="291">
                  <c:v>37.580920678325199</c:v>
                </c:pt>
                <c:pt idx="292">
                  <c:v>37.5940243442205</c:v>
                </c:pt>
                <c:pt idx="293">
                  <c:v>37.609649335131202</c:v>
                </c:pt>
                <c:pt idx="294">
                  <c:v>37.6172680126611</c:v>
                </c:pt>
                <c:pt idx="295">
                  <c:v>37.629421060537702</c:v>
                </c:pt>
                <c:pt idx="296">
                  <c:v>37.642323570550303</c:v>
                </c:pt>
                <c:pt idx="297">
                  <c:v>37.655394781827198</c:v>
                </c:pt>
                <c:pt idx="298">
                  <c:v>37.667086301424703</c:v>
                </c:pt>
                <c:pt idx="299">
                  <c:v>37.675994959324697</c:v>
                </c:pt>
                <c:pt idx="300">
                  <c:v>37.688956782929999</c:v>
                </c:pt>
                <c:pt idx="301">
                  <c:v>37.704605356613499</c:v>
                </c:pt>
                <c:pt idx="302">
                  <c:v>37.713756434758103</c:v>
                </c:pt>
                <c:pt idx="303">
                  <c:v>37.7275797402583</c:v>
                </c:pt>
                <c:pt idx="304">
                  <c:v>37.738984436885097</c:v>
                </c:pt>
                <c:pt idx="305">
                  <c:v>37.750856629622199</c:v>
                </c:pt>
                <c:pt idx="306">
                  <c:v>37.760713835140599</c:v>
                </c:pt>
                <c:pt idx="307">
                  <c:v>37.771935787703796</c:v>
                </c:pt>
                <c:pt idx="308">
                  <c:v>37.7863224552163</c:v>
                </c:pt>
                <c:pt idx="309">
                  <c:v>37.799220974874103</c:v>
                </c:pt>
                <c:pt idx="310">
                  <c:v>37.814321871185101</c:v>
                </c:pt>
                <c:pt idx="311">
                  <c:v>37.828250936269797</c:v>
                </c:pt>
                <c:pt idx="312">
                  <c:v>37.840651114282302</c:v>
                </c:pt>
                <c:pt idx="313">
                  <c:v>37.855565068718597</c:v>
                </c:pt>
                <c:pt idx="314">
                  <c:v>37.867824757809998</c:v>
                </c:pt>
                <c:pt idx="315">
                  <c:v>37.8807903480145</c:v>
                </c:pt>
                <c:pt idx="316">
                  <c:v>37.891465956328297</c:v>
                </c:pt>
                <c:pt idx="317">
                  <c:v>37.902804427279897</c:v>
                </c:pt>
                <c:pt idx="318">
                  <c:v>37.9125729276832</c:v>
                </c:pt>
                <c:pt idx="319">
                  <c:v>37.925629053554303</c:v>
                </c:pt>
                <c:pt idx="320">
                  <c:v>37.9343268277497</c:v>
                </c:pt>
                <c:pt idx="321">
                  <c:v>37.946861227153001</c:v>
                </c:pt>
                <c:pt idx="322">
                  <c:v>37.957404037832497</c:v>
                </c:pt>
                <c:pt idx="323">
                  <c:v>37.970590502388902</c:v>
                </c:pt>
                <c:pt idx="324">
                  <c:v>37.982876301942703</c:v>
                </c:pt>
                <c:pt idx="325">
                  <c:v>37.997220000081199</c:v>
                </c:pt>
                <c:pt idx="326">
                  <c:v>38.009329046681003</c:v>
                </c:pt>
                <c:pt idx="327">
                  <c:v>38.016807253381302</c:v>
                </c:pt>
                <c:pt idx="328">
                  <c:v>38.027232539621998</c:v>
                </c:pt>
                <c:pt idx="329">
                  <c:v>38.035410416305098</c:v>
                </c:pt>
                <c:pt idx="330">
                  <c:v>38.044843162764302</c:v>
                </c:pt>
                <c:pt idx="331">
                  <c:v>38.058256985223302</c:v>
                </c:pt>
                <c:pt idx="332">
                  <c:v>38.069866576290003</c:v>
                </c:pt>
                <c:pt idx="333">
                  <c:v>38.078760624433301</c:v>
                </c:pt>
                <c:pt idx="334">
                  <c:v>38.086982540852397</c:v>
                </c:pt>
                <c:pt idx="335">
                  <c:v>38.097241676118202</c:v>
                </c:pt>
                <c:pt idx="336">
                  <c:v>38.104963286794202</c:v>
                </c:pt>
                <c:pt idx="337">
                  <c:v>38.113729017778397</c:v>
                </c:pt>
                <c:pt idx="338">
                  <c:v>38.1244046998738</c:v>
                </c:pt>
                <c:pt idx="339">
                  <c:v>38.1367032129573</c:v>
                </c:pt>
                <c:pt idx="340">
                  <c:v>38.147850515404997</c:v>
                </c:pt>
                <c:pt idx="341">
                  <c:v>38.153166054262897</c:v>
                </c:pt>
                <c:pt idx="342">
                  <c:v>38.163622036242501</c:v>
                </c:pt>
                <c:pt idx="343">
                  <c:v>38.1735609628196</c:v>
                </c:pt>
                <c:pt idx="344">
                  <c:v>38.1841293285324</c:v>
                </c:pt>
                <c:pt idx="345">
                  <c:v>38.197039249569897</c:v>
                </c:pt>
                <c:pt idx="346">
                  <c:v>38.202547436172203</c:v>
                </c:pt>
                <c:pt idx="347">
                  <c:v>38.210961519122201</c:v>
                </c:pt>
                <c:pt idx="348">
                  <c:v>38.221688899522903</c:v>
                </c:pt>
                <c:pt idx="349">
                  <c:v>38.2280267427928</c:v>
                </c:pt>
                <c:pt idx="350">
                  <c:v>38.240431691690603</c:v>
                </c:pt>
                <c:pt idx="351">
                  <c:v>38.250562103912898</c:v>
                </c:pt>
                <c:pt idx="352">
                  <c:v>38.261594650898402</c:v>
                </c:pt>
                <c:pt idx="353">
                  <c:v>38.269739237363503</c:v>
                </c:pt>
                <c:pt idx="354">
                  <c:v>38.2806069780248</c:v>
                </c:pt>
                <c:pt idx="355">
                  <c:v>38.2919273703125</c:v>
                </c:pt>
                <c:pt idx="356">
                  <c:v>38.301519184436003</c:v>
                </c:pt>
                <c:pt idx="357">
                  <c:v>38.311064047628797</c:v>
                </c:pt>
                <c:pt idx="358">
                  <c:v>38.320631019312003</c:v>
                </c:pt>
                <c:pt idx="359">
                  <c:v>38.327880664580697</c:v>
                </c:pt>
                <c:pt idx="360">
                  <c:v>38.336524016785503</c:v>
                </c:pt>
                <c:pt idx="361">
                  <c:v>38.345112110910698</c:v>
                </c:pt>
                <c:pt idx="362">
                  <c:v>38.354727788764301</c:v>
                </c:pt>
                <c:pt idx="363">
                  <c:v>38.365527406342899</c:v>
                </c:pt>
                <c:pt idx="364">
                  <c:v>38.372149352633897</c:v>
                </c:pt>
                <c:pt idx="365">
                  <c:v>38.380605856311497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D-4A28-AF1D-286E85588A5F}"/>
            </c:ext>
          </c:extLst>
        </c:ser>
        <c:ser>
          <c:idx val="1"/>
          <c:order val="1"/>
          <c:tx>
            <c:strRef>
              <c:f>price_paths_test_n2!$C$17</c:f>
              <c:strCache>
                <c:ptCount val="1"/>
                <c:pt idx="0">
                  <c:v>prices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price_paths_test_n2!$A$18:$A$383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cat>
          <c:val>
            <c:numRef>
              <c:f>price_paths_test_n2!$C$18:$C$383</c:f>
              <c:numCache>
                <c:formatCode>0.000</c:formatCode>
                <c:ptCount val="366"/>
                <c:pt idx="0">
                  <c:v>34.999999999999901</c:v>
                </c:pt>
                <c:pt idx="1">
                  <c:v>34.999443483136801</c:v>
                </c:pt>
                <c:pt idx="2">
                  <c:v>35.001345922842198</c:v>
                </c:pt>
                <c:pt idx="3">
                  <c:v>34.999967957771602</c:v>
                </c:pt>
                <c:pt idx="4">
                  <c:v>34.9982503722388</c:v>
                </c:pt>
                <c:pt idx="5">
                  <c:v>35.001823211602002</c:v>
                </c:pt>
                <c:pt idx="6">
                  <c:v>35.0041917001613</c:v>
                </c:pt>
                <c:pt idx="7">
                  <c:v>35.003935300149699</c:v>
                </c:pt>
                <c:pt idx="8">
                  <c:v>35.004491449614903</c:v>
                </c:pt>
                <c:pt idx="9">
                  <c:v>35.004497610216099</c:v>
                </c:pt>
                <c:pt idx="10">
                  <c:v>35.006031242442297</c:v>
                </c:pt>
                <c:pt idx="11">
                  <c:v>35.0043919740978</c:v>
                </c:pt>
                <c:pt idx="12">
                  <c:v>35.002947317244598</c:v>
                </c:pt>
                <c:pt idx="13">
                  <c:v>35.002810616718399</c:v>
                </c:pt>
                <c:pt idx="14">
                  <c:v>35.000736422598699</c:v>
                </c:pt>
                <c:pt idx="15">
                  <c:v>34.999878556090501</c:v>
                </c:pt>
                <c:pt idx="16">
                  <c:v>35.001448621343897</c:v>
                </c:pt>
                <c:pt idx="17">
                  <c:v>35.000767219892097</c:v>
                </c:pt>
                <c:pt idx="18">
                  <c:v>35.002514371422301</c:v>
                </c:pt>
                <c:pt idx="19">
                  <c:v>35.0008962014481</c:v>
                </c:pt>
                <c:pt idx="20">
                  <c:v>35.000982492298199</c:v>
                </c:pt>
                <c:pt idx="21">
                  <c:v>35.0013147622806</c:v>
                </c:pt>
                <c:pt idx="22">
                  <c:v>35.002551269595898</c:v>
                </c:pt>
                <c:pt idx="23">
                  <c:v>35.000304453248901</c:v>
                </c:pt>
                <c:pt idx="24">
                  <c:v>35.000585019835</c:v>
                </c:pt>
                <c:pt idx="25">
                  <c:v>35.001364125189298</c:v>
                </c:pt>
                <c:pt idx="26">
                  <c:v>35.001999827306697</c:v>
                </c:pt>
                <c:pt idx="27">
                  <c:v>35.001016679659401</c:v>
                </c:pt>
                <c:pt idx="28">
                  <c:v>35.000343684576002</c:v>
                </c:pt>
                <c:pt idx="29">
                  <c:v>34.999588012654499</c:v>
                </c:pt>
                <c:pt idx="30">
                  <c:v>34.9988034487466</c:v>
                </c:pt>
                <c:pt idx="31">
                  <c:v>34.994898927345702</c:v>
                </c:pt>
                <c:pt idx="32">
                  <c:v>34.995668938955298</c:v>
                </c:pt>
                <c:pt idx="33">
                  <c:v>34.996628022260602</c:v>
                </c:pt>
                <c:pt idx="34">
                  <c:v>34.998132561168397</c:v>
                </c:pt>
                <c:pt idx="35">
                  <c:v>34.997017839723298</c:v>
                </c:pt>
                <c:pt idx="36">
                  <c:v>34.994972456105302</c:v>
                </c:pt>
                <c:pt idx="37">
                  <c:v>34.995207987534997</c:v>
                </c:pt>
                <c:pt idx="38">
                  <c:v>34.996768401592902</c:v>
                </c:pt>
                <c:pt idx="39">
                  <c:v>34.998291736456601</c:v>
                </c:pt>
                <c:pt idx="40">
                  <c:v>34.9971129296488</c:v>
                </c:pt>
                <c:pt idx="41">
                  <c:v>34.995771386914797</c:v>
                </c:pt>
                <c:pt idx="42">
                  <c:v>34.994802618099698</c:v>
                </c:pt>
                <c:pt idx="43">
                  <c:v>34.996046295518802</c:v>
                </c:pt>
                <c:pt idx="44">
                  <c:v>34.9956439258671</c:v>
                </c:pt>
                <c:pt idx="45">
                  <c:v>34.995454629192601</c:v>
                </c:pt>
                <c:pt idx="46">
                  <c:v>34.995080099715203</c:v>
                </c:pt>
                <c:pt idx="47">
                  <c:v>34.993515685277799</c:v>
                </c:pt>
                <c:pt idx="48">
                  <c:v>34.993142804132198</c:v>
                </c:pt>
                <c:pt idx="49">
                  <c:v>34.991940572820603</c:v>
                </c:pt>
                <c:pt idx="50">
                  <c:v>34.991861183367398</c:v>
                </c:pt>
                <c:pt idx="51">
                  <c:v>34.9913777138676</c:v>
                </c:pt>
                <c:pt idx="52">
                  <c:v>34.990272137765601</c:v>
                </c:pt>
                <c:pt idx="53">
                  <c:v>34.9929858997438</c:v>
                </c:pt>
                <c:pt idx="54">
                  <c:v>34.993607919427099</c:v>
                </c:pt>
                <c:pt idx="55">
                  <c:v>34.994501743260003</c:v>
                </c:pt>
                <c:pt idx="56">
                  <c:v>34.995698419775401</c:v>
                </c:pt>
                <c:pt idx="57">
                  <c:v>34.9962243575023</c:v>
                </c:pt>
                <c:pt idx="58">
                  <c:v>34.993515081398201</c:v>
                </c:pt>
                <c:pt idx="59">
                  <c:v>34.995131549103696</c:v>
                </c:pt>
                <c:pt idx="60">
                  <c:v>34.993390002764301</c:v>
                </c:pt>
                <c:pt idx="61">
                  <c:v>34.996499168580698</c:v>
                </c:pt>
                <c:pt idx="62">
                  <c:v>34.997129847898698</c:v>
                </c:pt>
                <c:pt idx="63">
                  <c:v>34.996848301182801</c:v>
                </c:pt>
                <c:pt idx="64">
                  <c:v>34.995794973711298</c:v>
                </c:pt>
                <c:pt idx="65">
                  <c:v>34.994519162613003</c:v>
                </c:pt>
                <c:pt idx="66">
                  <c:v>34.993100412363901</c:v>
                </c:pt>
                <c:pt idx="67">
                  <c:v>34.993774861897997</c:v>
                </c:pt>
                <c:pt idx="68">
                  <c:v>34.994653131642004</c:v>
                </c:pt>
                <c:pt idx="69">
                  <c:v>34.993115632645399</c:v>
                </c:pt>
                <c:pt idx="70">
                  <c:v>34.993502545522396</c:v>
                </c:pt>
                <c:pt idx="71">
                  <c:v>34.995867525461499</c:v>
                </c:pt>
                <c:pt idx="72">
                  <c:v>34.997959692390502</c:v>
                </c:pt>
                <c:pt idx="73">
                  <c:v>34.999650022028597</c:v>
                </c:pt>
                <c:pt idx="74">
                  <c:v>34.998743962401399</c:v>
                </c:pt>
                <c:pt idx="75">
                  <c:v>34.998490711593902</c:v>
                </c:pt>
                <c:pt idx="76">
                  <c:v>34.997237959288697</c:v>
                </c:pt>
                <c:pt idx="77">
                  <c:v>34.998033303552603</c:v>
                </c:pt>
                <c:pt idx="78">
                  <c:v>34.997754510629299</c:v>
                </c:pt>
                <c:pt idx="79">
                  <c:v>34.996624314234801</c:v>
                </c:pt>
                <c:pt idx="80">
                  <c:v>34.997207673770703</c:v>
                </c:pt>
                <c:pt idx="81">
                  <c:v>34.996388764131602</c:v>
                </c:pt>
                <c:pt idx="82">
                  <c:v>34.997617291109798</c:v>
                </c:pt>
                <c:pt idx="83">
                  <c:v>34.998293328284497</c:v>
                </c:pt>
                <c:pt idx="84">
                  <c:v>34.998999809444697</c:v>
                </c:pt>
                <c:pt idx="85">
                  <c:v>35.0011893038536</c:v>
                </c:pt>
                <c:pt idx="86">
                  <c:v>35.000293406325603</c:v>
                </c:pt>
                <c:pt idx="87">
                  <c:v>35.001149116639198</c:v>
                </c:pt>
                <c:pt idx="88">
                  <c:v>35.001120022090099</c:v>
                </c:pt>
                <c:pt idx="89">
                  <c:v>35.000235875285</c:v>
                </c:pt>
                <c:pt idx="90">
                  <c:v>34.999419067219101</c:v>
                </c:pt>
                <c:pt idx="91">
                  <c:v>34.998207051849597</c:v>
                </c:pt>
                <c:pt idx="92">
                  <c:v>34.998396703085497</c:v>
                </c:pt>
                <c:pt idx="93">
                  <c:v>34.999178523993599</c:v>
                </c:pt>
                <c:pt idx="94">
                  <c:v>34.999328600391401</c:v>
                </c:pt>
                <c:pt idx="95">
                  <c:v>35.0024140137293</c:v>
                </c:pt>
                <c:pt idx="96">
                  <c:v>35.005044051868097</c:v>
                </c:pt>
                <c:pt idx="97">
                  <c:v>35.007432653133897</c:v>
                </c:pt>
                <c:pt idx="98">
                  <c:v>35.009213818980598</c:v>
                </c:pt>
                <c:pt idx="99">
                  <c:v>35.008433185311802</c:v>
                </c:pt>
                <c:pt idx="100">
                  <c:v>35.0100412891343</c:v>
                </c:pt>
                <c:pt idx="101">
                  <c:v>35.010677311081601</c:v>
                </c:pt>
                <c:pt idx="102">
                  <c:v>35.008245505854397</c:v>
                </c:pt>
                <c:pt idx="103">
                  <c:v>35.008851296702602</c:v>
                </c:pt>
                <c:pt idx="104">
                  <c:v>35.007455678583298</c:v>
                </c:pt>
                <c:pt idx="105">
                  <c:v>35.009120480029303</c:v>
                </c:pt>
                <c:pt idx="106">
                  <c:v>35.009445970006702</c:v>
                </c:pt>
                <c:pt idx="107">
                  <c:v>35.011129966531399</c:v>
                </c:pt>
                <c:pt idx="108">
                  <c:v>35.011688574853402</c:v>
                </c:pt>
                <c:pt idx="109">
                  <c:v>35.010089559737203</c:v>
                </c:pt>
                <c:pt idx="110">
                  <c:v>35.013190200806797</c:v>
                </c:pt>
                <c:pt idx="111">
                  <c:v>35.012324459309298</c:v>
                </c:pt>
                <c:pt idx="112">
                  <c:v>35.011822808139499</c:v>
                </c:pt>
                <c:pt idx="113">
                  <c:v>35.012843745630001</c:v>
                </c:pt>
                <c:pt idx="114">
                  <c:v>35.015415673748002</c:v>
                </c:pt>
                <c:pt idx="115">
                  <c:v>35.015199682890298</c:v>
                </c:pt>
                <c:pt idx="116">
                  <c:v>35.016084135708702</c:v>
                </c:pt>
                <c:pt idx="117">
                  <c:v>35.015571143613002</c:v>
                </c:pt>
                <c:pt idx="118">
                  <c:v>35.0154461674895</c:v>
                </c:pt>
                <c:pt idx="119">
                  <c:v>35.012435224393897</c:v>
                </c:pt>
                <c:pt idx="120">
                  <c:v>35.012804612234298</c:v>
                </c:pt>
                <c:pt idx="121">
                  <c:v>35.014604675798601</c:v>
                </c:pt>
                <c:pt idx="122">
                  <c:v>35.014197351817899</c:v>
                </c:pt>
                <c:pt idx="123">
                  <c:v>35.013717856543401</c:v>
                </c:pt>
                <c:pt idx="124">
                  <c:v>35.011159694979803</c:v>
                </c:pt>
                <c:pt idx="125">
                  <c:v>35.009573085897401</c:v>
                </c:pt>
                <c:pt idx="126">
                  <c:v>35.008868858532502</c:v>
                </c:pt>
                <c:pt idx="127">
                  <c:v>35.006147341242396</c:v>
                </c:pt>
                <c:pt idx="128">
                  <c:v>35.008285318170202</c:v>
                </c:pt>
                <c:pt idx="129">
                  <c:v>35.009408776320903</c:v>
                </c:pt>
                <c:pt idx="130">
                  <c:v>35.011050139720098</c:v>
                </c:pt>
                <c:pt idx="131">
                  <c:v>35.011701949854803</c:v>
                </c:pt>
                <c:pt idx="132">
                  <c:v>35.0141532807395</c:v>
                </c:pt>
                <c:pt idx="133">
                  <c:v>35.012915520026098</c:v>
                </c:pt>
                <c:pt idx="134">
                  <c:v>35.013250987461603</c:v>
                </c:pt>
                <c:pt idx="135">
                  <c:v>35.0158659413527</c:v>
                </c:pt>
                <c:pt idx="136">
                  <c:v>35.017634974491699</c:v>
                </c:pt>
                <c:pt idx="137">
                  <c:v>35.0169657808651</c:v>
                </c:pt>
                <c:pt idx="138">
                  <c:v>35.016250065063197</c:v>
                </c:pt>
                <c:pt idx="139">
                  <c:v>35.014325402917699</c:v>
                </c:pt>
                <c:pt idx="140">
                  <c:v>35.011635499530698</c:v>
                </c:pt>
                <c:pt idx="141">
                  <c:v>35.0144224045968</c:v>
                </c:pt>
                <c:pt idx="142">
                  <c:v>35.020651315521697</c:v>
                </c:pt>
                <c:pt idx="143">
                  <c:v>35.029823239069501</c:v>
                </c:pt>
                <c:pt idx="144">
                  <c:v>35.035443732425001</c:v>
                </c:pt>
                <c:pt idx="145">
                  <c:v>35.043890283827501</c:v>
                </c:pt>
                <c:pt idx="146">
                  <c:v>35.0524415431439</c:v>
                </c:pt>
                <c:pt idx="147">
                  <c:v>35.062180389652703</c:v>
                </c:pt>
                <c:pt idx="148">
                  <c:v>35.0718747646008</c:v>
                </c:pt>
                <c:pt idx="149">
                  <c:v>35.080174642277399</c:v>
                </c:pt>
                <c:pt idx="150">
                  <c:v>35.090956624987101</c:v>
                </c:pt>
                <c:pt idx="151">
                  <c:v>35.1031189057963</c:v>
                </c:pt>
                <c:pt idx="152">
                  <c:v>35.117680202606003</c:v>
                </c:pt>
                <c:pt idx="153">
                  <c:v>35.134190300381398</c:v>
                </c:pt>
                <c:pt idx="154">
                  <c:v>35.149285686191099</c:v>
                </c:pt>
                <c:pt idx="155">
                  <c:v>35.164355478627499</c:v>
                </c:pt>
                <c:pt idx="156">
                  <c:v>35.176846059408803</c:v>
                </c:pt>
                <c:pt idx="157">
                  <c:v>35.193117452954397</c:v>
                </c:pt>
                <c:pt idx="158">
                  <c:v>35.208575390882203</c:v>
                </c:pt>
                <c:pt idx="159">
                  <c:v>35.227510752540503</c:v>
                </c:pt>
                <c:pt idx="160">
                  <c:v>35.248441759571399</c:v>
                </c:pt>
                <c:pt idx="161">
                  <c:v>35.269691058926703</c:v>
                </c:pt>
                <c:pt idx="162">
                  <c:v>35.291217072021098</c:v>
                </c:pt>
                <c:pt idx="163">
                  <c:v>35.3081992578119</c:v>
                </c:pt>
                <c:pt idx="164">
                  <c:v>35.331350541314897</c:v>
                </c:pt>
                <c:pt idx="165">
                  <c:v>35.352141202422501</c:v>
                </c:pt>
                <c:pt idx="166">
                  <c:v>35.376854919897603</c:v>
                </c:pt>
                <c:pt idx="167">
                  <c:v>35.398869209686502</c:v>
                </c:pt>
                <c:pt idx="168">
                  <c:v>35.421787214130902</c:v>
                </c:pt>
                <c:pt idx="169">
                  <c:v>35.445596497525401</c:v>
                </c:pt>
                <c:pt idx="170">
                  <c:v>35.4690771711659</c:v>
                </c:pt>
                <c:pt idx="171">
                  <c:v>35.493582274348299</c:v>
                </c:pt>
                <c:pt idx="172">
                  <c:v>35.515930097428999</c:v>
                </c:pt>
                <c:pt idx="173">
                  <c:v>35.539840830665099</c:v>
                </c:pt>
                <c:pt idx="174">
                  <c:v>35.565067082724099</c:v>
                </c:pt>
                <c:pt idx="175">
                  <c:v>35.590270528239401</c:v>
                </c:pt>
                <c:pt idx="176">
                  <c:v>35.612658411197501</c:v>
                </c:pt>
                <c:pt idx="177">
                  <c:v>35.632322730135698</c:v>
                </c:pt>
                <c:pt idx="178">
                  <c:v>35.654530585913903</c:v>
                </c:pt>
                <c:pt idx="179">
                  <c:v>35.677149616767601</c:v>
                </c:pt>
                <c:pt idx="180">
                  <c:v>35.698905908980201</c:v>
                </c:pt>
                <c:pt idx="181">
                  <c:v>35.718655044886297</c:v>
                </c:pt>
                <c:pt idx="182">
                  <c:v>35.740333644167798</c:v>
                </c:pt>
                <c:pt idx="183">
                  <c:v>35.763083159674103</c:v>
                </c:pt>
                <c:pt idx="184">
                  <c:v>35.782889740605597</c:v>
                </c:pt>
                <c:pt idx="185">
                  <c:v>35.803864854584901</c:v>
                </c:pt>
                <c:pt idx="186">
                  <c:v>35.822668269241703</c:v>
                </c:pt>
                <c:pt idx="187">
                  <c:v>35.843908452049199</c:v>
                </c:pt>
                <c:pt idx="188">
                  <c:v>35.867679743310397</c:v>
                </c:pt>
                <c:pt idx="189">
                  <c:v>35.891605975099999</c:v>
                </c:pt>
                <c:pt idx="190">
                  <c:v>35.909759690044602</c:v>
                </c:pt>
                <c:pt idx="191">
                  <c:v>35.927687012939103</c:v>
                </c:pt>
                <c:pt idx="192">
                  <c:v>35.949095284214103</c:v>
                </c:pt>
                <c:pt idx="193">
                  <c:v>35.970781588045398</c:v>
                </c:pt>
                <c:pt idx="194">
                  <c:v>35.988898139615898</c:v>
                </c:pt>
                <c:pt idx="195">
                  <c:v>36.0117510626878</c:v>
                </c:pt>
                <c:pt idx="196">
                  <c:v>36.0340943567507</c:v>
                </c:pt>
                <c:pt idx="197">
                  <c:v>36.053435695694297</c:v>
                </c:pt>
                <c:pt idx="198">
                  <c:v>36.074635494780601</c:v>
                </c:pt>
                <c:pt idx="199">
                  <c:v>36.094998294739298</c:v>
                </c:pt>
                <c:pt idx="200">
                  <c:v>36.115559664015301</c:v>
                </c:pt>
                <c:pt idx="201">
                  <c:v>36.135075647097203</c:v>
                </c:pt>
                <c:pt idx="202">
                  <c:v>36.152477090183297</c:v>
                </c:pt>
                <c:pt idx="203">
                  <c:v>36.172277410967098</c:v>
                </c:pt>
                <c:pt idx="204">
                  <c:v>36.190935339828002</c:v>
                </c:pt>
                <c:pt idx="205">
                  <c:v>36.214591721262401</c:v>
                </c:pt>
                <c:pt idx="206">
                  <c:v>36.234349783095503</c:v>
                </c:pt>
                <c:pt idx="207">
                  <c:v>36.255513723871502</c:v>
                </c:pt>
                <c:pt idx="208">
                  <c:v>36.277285327450798</c:v>
                </c:pt>
                <c:pt idx="209">
                  <c:v>36.298305757328897</c:v>
                </c:pt>
                <c:pt idx="210">
                  <c:v>36.3181924552973</c:v>
                </c:pt>
                <c:pt idx="211">
                  <c:v>36.335611176426603</c:v>
                </c:pt>
                <c:pt idx="212">
                  <c:v>36.357196841485198</c:v>
                </c:pt>
                <c:pt idx="213">
                  <c:v>36.376101409395297</c:v>
                </c:pt>
                <c:pt idx="214">
                  <c:v>36.395890187410899</c:v>
                </c:pt>
                <c:pt idx="215">
                  <c:v>36.415284204805197</c:v>
                </c:pt>
                <c:pt idx="216">
                  <c:v>36.4320532218712</c:v>
                </c:pt>
                <c:pt idx="217">
                  <c:v>36.4496220646311</c:v>
                </c:pt>
                <c:pt idx="218">
                  <c:v>36.465582440478698</c:v>
                </c:pt>
                <c:pt idx="219">
                  <c:v>36.484302779192902</c:v>
                </c:pt>
                <c:pt idx="220">
                  <c:v>36.503961755379201</c:v>
                </c:pt>
                <c:pt idx="221">
                  <c:v>36.522624173689202</c:v>
                </c:pt>
                <c:pt idx="222">
                  <c:v>36.5403049196034</c:v>
                </c:pt>
                <c:pt idx="223">
                  <c:v>36.5580233638333</c:v>
                </c:pt>
                <c:pt idx="224">
                  <c:v>36.578060291292402</c:v>
                </c:pt>
                <c:pt idx="225">
                  <c:v>36.595755051883998</c:v>
                </c:pt>
                <c:pt idx="226">
                  <c:v>36.613098521633503</c:v>
                </c:pt>
                <c:pt idx="227">
                  <c:v>36.625979967167801</c:v>
                </c:pt>
                <c:pt idx="228">
                  <c:v>36.640020385487297</c:v>
                </c:pt>
                <c:pt idx="229">
                  <c:v>36.659211578086499</c:v>
                </c:pt>
                <c:pt idx="230">
                  <c:v>36.677224941457801</c:v>
                </c:pt>
                <c:pt idx="231">
                  <c:v>36.697400714946198</c:v>
                </c:pt>
                <c:pt idx="232">
                  <c:v>36.715805221473097</c:v>
                </c:pt>
                <c:pt idx="233">
                  <c:v>36.732381163753502</c:v>
                </c:pt>
                <c:pt idx="234">
                  <c:v>36.7471668987396</c:v>
                </c:pt>
                <c:pt idx="235">
                  <c:v>36.765589757363401</c:v>
                </c:pt>
                <c:pt idx="236">
                  <c:v>36.783777336508102</c:v>
                </c:pt>
                <c:pt idx="237">
                  <c:v>36.804742032638401</c:v>
                </c:pt>
                <c:pt idx="238">
                  <c:v>36.8217906091446</c:v>
                </c:pt>
                <c:pt idx="239">
                  <c:v>36.840483550402098</c:v>
                </c:pt>
                <c:pt idx="240">
                  <c:v>36.858058735849497</c:v>
                </c:pt>
                <c:pt idx="241">
                  <c:v>36.876214785930003</c:v>
                </c:pt>
                <c:pt idx="242">
                  <c:v>36.892773933220198</c:v>
                </c:pt>
                <c:pt idx="243">
                  <c:v>36.912453974229102</c:v>
                </c:pt>
                <c:pt idx="244">
                  <c:v>36.931476768145203</c:v>
                </c:pt>
                <c:pt idx="245">
                  <c:v>36.943471940832701</c:v>
                </c:pt>
                <c:pt idx="246">
                  <c:v>36.961994734808698</c:v>
                </c:pt>
                <c:pt idx="247">
                  <c:v>36.980057722141801</c:v>
                </c:pt>
                <c:pt idx="248">
                  <c:v>36.9923674189384</c:v>
                </c:pt>
                <c:pt idx="249">
                  <c:v>37.002551457498498</c:v>
                </c:pt>
                <c:pt idx="250">
                  <c:v>37.020557026832797</c:v>
                </c:pt>
                <c:pt idx="251">
                  <c:v>37.036920402990503</c:v>
                </c:pt>
                <c:pt idx="252">
                  <c:v>37.051829219782</c:v>
                </c:pt>
                <c:pt idx="253">
                  <c:v>37.063979668517099</c:v>
                </c:pt>
                <c:pt idx="254">
                  <c:v>37.081321838145598</c:v>
                </c:pt>
                <c:pt idx="255">
                  <c:v>37.097141788141499</c:v>
                </c:pt>
                <c:pt idx="256">
                  <c:v>37.1109016916919</c:v>
                </c:pt>
                <c:pt idx="257">
                  <c:v>37.125255159858199</c:v>
                </c:pt>
                <c:pt idx="258">
                  <c:v>37.141107352692799</c:v>
                </c:pt>
                <c:pt idx="259">
                  <c:v>37.156409836764198</c:v>
                </c:pt>
                <c:pt idx="260">
                  <c:v>37.174042365100703</c:v>
                </c:pt>
                <c:pt idx="261">
                  <c:v>37.189380918348803</c:v>
                </c:pt>
                <c:pt idx="262">
                  <c:v>37.204696763034299</c:v>
                </c:pt>
                <c:pt idx="263">
                  <c:v>37.218966945490401</c:v>
                </c:pt>
                <c:pt idx="264">
                  <c:v>37.234694677958402</c:v>
                </c:pt>
                <c:pt idx="265">
                  <c:v>37.248347169073199</c:v>
                </c:pt>
                <c:pt idx="266">
                  <c:v>37.260877830202901</c:v>
                </c:pt>
                <c:pt idx="267">
                  <c:v>37.275011688623998</c:v>
                </c:pt>
                <c:pt idx="268">
                  <c:v>37.288691671626502</c:v>
                </c:pt>
                <c:pt idx="269">
                  <c:v>37.302883160393598</c:v>
                </c:pt>
                <c:pt idx="270">
                  <c:v>37.317105853092698</c:v>
                </c:pt>
                <c:pt idx="271">
                  <c:v>37.3326620456642</c:v>
                </c:pt>
                <c:pt idx="272">
                  <c:v>37.3461167333951</c:v>
                </c:pt>
                <c:pt idx="273">
                  <c:v>37.360309422842498</c:v>
                </c:pt>
                <c:pt idx="274">
                  <c:v>37.370158256654598</c:v>
                </c:pt>
                <c:pt idx="275">
                  <c:v>37.380969816277101</c:v>
                </c:pt>
                <c:pt idx="276">
                  <c:v>37.3940425273709</c:v>
                </c:pt>
                <c:pt idx="277">
                  <c:v>37.409291064834797</c:v>
                </c:pt>
                <c:pt idx="278">
                  <c:v>37.425144749628402</c:v>
                </c:pt>
                <c:pt idx="279">
                  <c:v>37.436418283916801</c:v>
                </c:pt>
                <c:pt idx="280">
                  <c:v>37.449447819836898</c:v>
                </c:pt>
                <c:pt idx="281">
                  <c:v>37.461985732824203</c:v>
                </c:pt>
                <c:pt idx="282">
                  <c:v>37.478809998584303</c:v>
                </c:pt>
                <c:pt idx="283">
                  <c:v>37.490322231661303</c:v>
                </c:pt>
                <c:pt idx="284">
                  <c:v>37.502700767623999</c:v>
                </c:pt>
                <c:pt idx="285">
                  <c:v>37.518079225522001</c:v>
                </c:pt>
                <c:pt idx="286">
                  <c:v>37.532128652162299</c:v>
                </c:pt>
                <c:pt idx="287">
                  <c:v>37.544666107937701</c:v>
                </c:pt>
                <c:pt idx="288">
                  <c:v>37.557553262428499</c:v>
                </c:pt>
                <c:pt idx="289">
                  <c:v>37.571050092905502</c:v>
                </c:pt>
                <c:pt idx="290">
                  <c:v>37.584107985186698</c:v>
                </c:pt>
                <c:pt idx="291">
                  <c:v>37.5973903910998</c:v>
                </c:pt>
                <c:pt idx="292">
                  <c:v>37.6098109876528</c:v>
                </c:pt>
                <c:pt idx="293">
                  <c:v>37.619578617660103</c:v>
                </c:pt>
                <c:pt idx="294">
                  <c:v>37.637225390293302</c:v>
                </c:pt>
                <c:pt idx="295">
                  <c:v>37.650206482192601</c:v>
                </c:pt>
                <c:pt idx="296">
                  <c:v>37.662308747192697</c:v>
                </c:pt>
                <c:pt idx="297">
                  <c:v>37.674113894470999</c:v>
                </c:pt>
                <c:pt idx="298">
                  <c:v>37.687171716300497</c:v>
                </c:pt>
                <c:pt idx="299">
                  <c:v>37.702887085846399</c:v>
                </c:pt>
                <c:pt idx="300">
                  <c:v>37.714420197589099</c:v>
                </c:pt>
                <c:pt idx="301">
                  <c:v>37.723139166325197</c:v>
                </c:pt>
                <c:pt idx="302">
                  <c:v>37.738234082224203</c:v>
                </c:pt>
                <c:pt idx="303">
                  <c:v>37.748529351595799</c:v>
                </c:pt>
                <c:pt idx="304">
                  <c:v>37.761120566704498</c:v>
                </c:pt>
                <c:pt idx="305">
                  <c:v>37.773120517435501</c:v>
                </c:pt>
                <c:pt idx="306">
                  <c:v>37.787013842096499</c:v>
                </c:pt>
                <c:pt idx="307">
                  <c:v>37.799419261968701</c:v>
                </c:pt>
                <c:pt idx="308">
                  <c:v>37.808536121556301</c:v>
                </c:pt>
                <c:pt idx="309">
                  <c:v>37.819021086379102</c:v>
                </c:pt>
                <c:pt idx="310">
                  <c:v>37.827182326710997</c:v>
                </c:pt>
                <c:pt idx="311">
                  <c:v>37.836396304280903</c:v>
                </c:pt>
                <c:pt idx="312">
                  <c:v>37.8470202949335</c:v>
                </c:pt>
                <c:pt idx="313">
                  <c:v>37.855011632668301</c:v>
                </c:pt>
                <c:pt idx="314">
                  <c:v>37.865539328226198</c:v>
                </c:pt>
                <c:pt idx="315">
                  <c:v>37.875243625494903</c:v>
                </c:pt>
                <c:pt idx="316">
                  <c:v>37.887120594602401</c:v>
                </c:pt>
                <c:pt idx="317">
                  <c:v>37.898218298617302</c:v>
                </c:pt>
                <c:pt idx="318">
                  <c:v>37.910769912230101</c:v>
                </c:pt>
                <c:pt idx="319">
                  <c:v>37.919918844905197</c:v>
                </c:pt>
                <c:pt idx="320">
                  <c:v>37.933310922178798</c:v>
                </c:pt>
                <c:pt idx="321">
                  <c:v>37.942752439946702</c:v>
                </c:pt>
                <c:pt idx="322">
                  <c:v>37.954071713247799</c:v>
                </c:pt>
                <c:pt idx="323">
                  <c:v>37.962634577604902</c:v>
                </c:pt>
                <c:pt idx="324">
                  <c:v>37.971985542044102</c:v>
                </c:pt>
                <c:pt idx="325">
                  <c:v>37.979167571770397</c:v>
                </c:pt>
                <c:pt idx="326">
                  <c:v>37.988472117339803</c:v>
                </c:pt>
                <c:pt idx="327">
                  <c:v>38.002294364312199</c:v>
                </c:pt>
                <c:pt idx="328">
                  <c:v>38.013060541519202</c:v>
                </c:pt>
                <c:pt idx="329">
                  <c:v>38.025963596766402</c:v>
                </c:pt>
                <c:pt idx="330">
                  <c:v>38.037502959198399</c:v>
                </c:pt>
                <c:pt idx="331">
                  <c:v>38.044953497855197</c:v>
                </c:pt>
                <c:pt idx="332">
                  <c:v>38.054099673367503</c:v>
                </c:pt>
                <c:pt idx="333">
                  <c:v>38.0658526579913</c:v>
                </c:pt>
                <c:pt idx="334">
                  <c:v>38.078170532394097</c:v>
                </c:pt>
                <c:pt idx="335">
                  <c:v>38.0883451119239</c:v>
                </c:pt>
                <c:pt idx="336">
                  <c:v>38.1009506466159</c:v>
                </c:pt>
                <c:pt idx="337">
                  <c:v>38.112406756546498</c:v>
                </c:pt>
                <c:pt idx="338">
                  <c:v>38.121847936464803</c:v>
                </c:pt>
                <c:pt idx="339">
                  <c:v>38.1295619583601</c:v>
                </c:pt>
                <c:pt idx="340">
                  <c:v>38.138323088057497</c:v>
                </c:pt>
                <c:pt idx="341">
                  <c:v>38.152811567565998</c:v>
                </c:pt>
                <c:pt idx="342">
                  <c:v>38.1620571649308</c:v>
                </c:pt>
                <c:pt idx="343">
                  <c:v>38.1717172688207</c:v>
                </c:pt>
                <c:pt idx="344">
                  <c:v>38.180645950935002</c:v>
                </c:pt>
                <c:pt idx="345">
                  <c:v>38.187132054053798</c:v>
                </c:pt>
                <c:pt idx="346">
                  <c:v>38.200917675800298</c:v>
                </c:pt>
                <c:pt idx="347">
                  <c:v>38.211697484510097</c:v>
                </c:pt>
                <c:pt idx="348">
                  <c:v>38.220063992882302</c:v>
                </c:pt>
                <c:pt idx="349">
                  <c:v>38.232720616347301</c:v>
                </c:pt>
                <c:pt idx="350">
                  <c:v>38.239210831090702</c:v>
                </c:pt>
                <c:pt idx="351">
                  <c:v>38.247877203260899</c:v>
                </c:pt>
                <c:pt idx="352">
                  <c:v>38.255543533336599</c:v>
                </c:pt>
                <c:pt idx="353">
                  <c:v>38.265999908446901</c:v>
                </c:pt>
                <c:pt idx="354">
                  <c:v>38.273636412417197</c:v>
                </c:pt>
                <c:pt idx="355">
                  <c:v>38.280723932551297</c:v>
                </c:pt>
                <c:pt idx="356">
                  <c:v>38.289443532785903</c:v>
                </c:pt>
                <c:pt idx="357">
                  <c:v>38.298114444097102</c:v>
                </c:pt>
                <c:pt idx="358">
                  <c:v>38.306668108107303</c:v>
                </c:pt>
                <c:pt idx="359">
                  <c:v>38.317443659262601</c:v>
                </c:pt>
                <c:pt idx="360">
                  <c:v>38.326731751552003</c:v>
                </c:pt>
                <c:pt idx="361">
                  <c:v>38.335981346875101</c:v>
                </c:pt>
                <c:pt idx="362">
                  <c:v>38.344110340624198</c:v>
                </c:pt>
                <c:pt idx="363">
                  <c:v>38.350963025655702</c:v>
                </c:pt>
                <c:pt idx="364">
                  <c:v>38.361899674535699</c:v>
                </c:pt>
                <c:pt idx="365">
                  <c:v>38.370910491324402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D-4A28-AF1D-286E85588A5F}"/>
            </c:ext>
          </c:extLst>
        </c:ser>
        <c:ser>
          <c:idx val="2"/>
          <c:order val="2"/>
          <c:tx>
            <c:strRef>
              <c:f>price_paths_test_n2!$I$17</c:f>
              <c:strCache>
                <c:ptCount val="1"/>
                <c:pt idx="0">
                  <c:v>fwd_ref = self._fwd_ref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price_paths_test_n2!$I$18:$I$383</c:f>
              <c:numCache>
                <c:formatCode>General</c:formatCode>
                <c:ptCount val="36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35.005555555555503</c:v>
                </c:pt>
                <c:pt idx="109">
                  <c:v>35.016666666666602</c:v>
                </c:pt>
                <c:pt idx="110">
                  <c:v>35.033333333333303</c:v>
                </c:pt>
                <c:pt idx="111">
                  <c:v>35.0555555555555</c:v>
                </c:pt>
                <c:pt idx="112">
                  <c:v>35.0833333333333</c:v>
                </c:pt>
                <c:pt idx="113">
                  <c:v>35.116666666666603</c:v>
                </c:pt>
                <c:pt idx="114">
                  <c:v>35.155555555555502</c:v>
                </c:pt>
                <c:pt idx="115">
                  <c:v>35.200000000000003</c:v>
                </c:pt>
                <c:pt idx="116">
                  <c:v>35.25</c:v>
                </c:pt>
                <c:pt idx="117">
                  <c:v>35.3055555555555</c:v>
                </c:pt>
                <c:pt idx="118">
                  <c:v>35.366666666666603</c:v>
                </c:pt>
                <c:pt idx="119">
                  <c:v>35.433333333333302</c:v>
                </c:pt>
                <c:pt idx="120">
                  <c:v>35.505555555555503</c:v>
                </c:pt>
                <c:pt idx="121">
                  <c:v>35.5833333333333</c:v>
                </c:pt>
                <c:pt idx="122">
                  <c:v>35.6666666666666</c:v>
                </c:pt>
                <c:pt idx="123">
                  <c:v>35.755555555555503</c:v>
                </c:pt>
                <c:pt idx="124">
                  <c:v>35.85</c:v>
                </c:pt>
                <c:pt idx="125">
                  <c:v>35.950000000000003</c:v>
                </c:pt>
                <c:pt idx="126">
                  <c:v>36.0555555555555</c:v>
                </c:pt>
                <c:pt idx="127">
                  <c:v>36.1666666666666</c:v>
                </c:pt>
                <c:pt idx="128">
                  <c:v>36.283333333333303</c:v>
                </c:pt>
                <c:pt idx="129">
                  <c:v>36.405555555555502</c:v>
                </c:pt>
                <c:pt idx="130">
                  <c:v>36.533333333333303</c:v>
                </c:pt>
                <c:pt idx="131">
                  <c:v>36.6666666666666</c:v>
                </c:pt>
                <c:pt idx="132">
                  <c:v>36.8055555555555</c:v>
                </c:pt>
                <c:pt idx="133">
                  <c:v>36.950000000000003</c:v>
                </c:pt>
                <c:pt idx="134">
                  <c:v>37.1</c:v>
                </c:pt>
                <c:pt idx="135">
                  <c:v>37.255555555555503</c:v>
                </c:pt>
                <c:pt idx="136">
                  <c:v>37.4166666666666</c:v>
                </c:pt>
                <c:pt idx="137">
                  <c:v>37.5833333333333</c:v>
                </c:pt>
                <c:pt idx="138">
                  <c:v>37.744444444444397</c:v>
                </c:pt>
                <c:pt idx="139">
                  <c:v>37.9</c:v>
                </c:pt>
                <c:pt idx="140">
                  <c:v>38.049999999999997</c:v>
                </c:pt>
                <c:pt idx="141">
                  <c:v>38.1944444444444</c:v>
                </c:pt>
                <c:pt idx="142">
                  <c:v>38.3333333333333</c:v>
                </c:pt>
                <c:pt idx="143">
                  <c:v>38.466666666666598</c:v>
                </c:pt>
                <c:pt idx="144">
                  <c:v>38.594444444444399</c:v>
                </c:pt>
                <c:pt idx="145">
                  <c:v>38.716666666666598</c:v>
                </c:pt>
                <c:pt idx="146">
                  <c:v>38.8333333333333</c:v>
                </c:pt>
                <c:pt idx="147">
                  <c:v>38.9444444444444</c:v>
                </c:pt>
                <c:pt idx="148">
                  <c:v>39.049999999999997</c:v>
                </c:pt>
                <c:pt idx="149">
                  <c:v>39.15</c:v>
                </c:pt>
                <c:pt idx="150">
                  <c:v>39.244444444444397</c:v>
                </c:pt>
                <c:pt idx="151">
                  <c:v>39.3333333333333</c:v>
                </c:pt>
                <c:pt idx="152">
                  <c:v>39.4166666666666</c:v>
                </c:pt>
                <c:pt idx="153">
                  <c:v>39.494444444444397</c:v>
                </c:pt>
                <c:pt idx="154">
                  <c:v>39.566666666666599</c:v>
                </c:pt>
                <c:pt idx="155">
                  <c:v>39.633333333333297</c:v>
                </c:pt>
                <c:pt idx="156">
                  <c:v>39.6944444444444</c:v>
                </c:pt>
                <c:pt idx="157">
                  <c:v>39.75</c:v>
                </c:pt>
                <c:pt idx="158">
                  <c:v>39.799999999999997</c:v>
                </c:pt>
                <c:pt idx="159">
                  <c:v>39.844444444444399</c:v>
                </c:pt>
                <c:pt idx="160">
                  <c:v>39.883333333333297</c:v>
                </c:pt>
                <c:pt idx="161">
                  <c:v>39.9166666666666</c:v>
                </c:pt>
                <c:pt idx="162">
                  <c:v>39.9444444444444</c:v>
                </c:pt>
                <c:pt idx="163">
                  <c:v>39.966666666666598</c:v>
                </c:pt>
                <c:pt idx="164">
                  <c:v>39.983333333333299</c:v>
                </c:pt>
                <c:pt idx="165">
                  <c:v>39.994444444444397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D-4A28-AF1D-286E85588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58495"/>
        <c:axId val="273059455"/>
      </c:lineChart>
      <c:catAx>
        <c:axId val="27305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9455"/>
        <c:crosses val="autoZero"/>
        <c:auto val="1"/>
        <c:lblAlgn val="ctr"/>
        <c:lblOffset val="100"/>
        <c:noMultiLvlLbl val="0"/>
      </c:catAx>
      <c:valAx>
        <c:axId val="27305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5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0</xdr:row>
      <xdr:rowOff>144780</xdr:rowOff>
    </xdr:from>
    <xdr:to>
      <xdr:col>8</xdr:col>
      <xdr:colOff>731520</xdr:colOff>
      <xdr:row>14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6E0C54-4888-4F6B-A83E-D65E30635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865880</xdr:colOff>
      <xdr:row>0</xdr:row>
      <xdr:rowOff>99060</xdr:rowOff>
    </xdr:from>
    <xdr:to>
      <xdr:col>12</xdr:col>
      <xdr:colOff>99143</xdr:colOff>
      <xdr:row>15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54C924-2E9F-1D61-32C9-732A67AB1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3580" y="99060"/>
          <a:ext cx="3614763" cy="2682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2CD5-2B00-451B-9A69-AF951D3E549E}">
  <dimension ref="A1:O383"/>
  <sheetViews>
    <sheetView tabSelected="1" workbookViewId="0">
      <pane ySplit="17" topLeftCell="A18" activePane="bottomLeft" state="frozen"/>
      <selection pane="bottomLeft" activeCell="Q8" sqref="Q8"/>
    </sheetView>
  </sheetViews>
  <sheetFormatPr defaultRowHeight="14.4" x14ac:dyDescent="0.3"/>
  <cols>
    <col min="1" max="1" width="10.33203125" bestFit="1" customWidth="1"/>
    <col min="2" max="3" width="13.6640625" bestFit="1" customWidth="1"/>
    <col min="4" max="6" width="12" bestFit="1" customWidth="1"/>
    <col min="7" max="7" width="22.109375" bestFit="1" customWidth="1"/>
    <col min="8" max="8" width="24.77734375" bestFit="1" customWidth="1"/>
    <col min="9" max="9" width="18.88671875" bestFit="1" customWidth="1"/>
    <col min="10" max="10" width="19.109375" bestFit="1" customWidth="1"/>
    <col min="11" max="11" width="12" bestFit="1" customWidth="1"/>
    <col min="12" max="12" width="13.88671875" bestFit="1" customWidth="1"/>
    <col min="13" max="15" width="16.33203125" customWidth="1"/>
    <col min="16" max="30" width="12" bestFit="1" customWidth="1"/>
    <col min="31" max="31" width="11" bestFit="1" customWidth="1"/>
    <col min="32" max="343" width="12" bestFit="1" customWidth="1"/>
    <col min="344" max="344" width="11" bestFit="1" customWidth="1"/>
    <col min="345" max="358" width="12" bestFit="1" customWidth="1"/>
  </cols>
  <sheetData>
    <row r="1" spans="2:15" x14ac:dyDescent="0.3">
      <c r="B1" t="s">
        <v>4</v>
      </c>
      <c r="C1" s="3">
        <v>0</v>
      </c>
    </row>
    <row r="2" spans="2:15" x14ac:dyDescent="0.3">
      <c r="B2" t="s">
        <v>9</v>
      </c>
      <c r="C2" s="3">
        <v>0</v>
      </c>
    </row>
    <row r="3" spans="2:15" x14ac:dyDescent="0.3">
      <c r="B3" t="s">
        <v>10</v>
      </c>
      <c r="C3" s="3">
        <v>2000000</v>
      </c>
    </row>
    <row r="4" spans="2:15" x14ac:dyDescent="0.3">
      <c r="B4" t="s">
        <v>5</v>
      </c>
      <c r="C4" s="3">
        <v>20000</v>
      </c>
    </row>
    <row r="5" spans="2:15" x14ac:dyDescent="0.3">
      <c r="B5" t="s">
        <v>6</v>
      </c>
      <c r="C5" s="3">
        <v>20000</v>
      </c>
    </row>
    <row r="6" spans="2:15" x14ac:dyDescent="0.3">
      <c r="B6" t="s">
        <v>20</v>
      </c>
      <c r="C6" s="6">
        <v>1</v>
      </c>
    </row>
    <row r="7" spans="2:15" x14ac:dyDescent="0.3">
      <c r="B7" t="s">
        <v>21</v>
      </c>
      <c r="C7" s="6">
        <v>1</v>
      </c>
    </row>
    <row r="8" spans="2:15" x14ac:dyDescent="0.3">
      <c r="B8" t="s">
        <v>16</v>
      </c>
      <c r="C8" s="6">
        <v>0.2</v>
      </c>
    </row>
    <row r="9" spans="2:15" x14ac:dyDescent="0.3">
      <c r="C9" s="6"/>
    </row>
    <row r="10" spans="2:15" x14ac:dyDescent="0.3">
      <c r="C10" s="6"/>
      <c r="N10" t="s">
        <v>25</v>
      </c>
      <c r="O10" s="3">
        <f>SUM(O12:O15)</f>
        <v>-379965729.36135525</v>
      </c>
    </row>
    <row r="11" spans="2:15" x14ac:dyDescent="0.3">
      <c r="C11" s="6"/>
    </row>
    <row r="12" spans="2:15" x14ac:dyDescent="0.3">
      <c r="C12" s="6"/>
      <c r="N12" t="s">
        <v>17</v>
      </c>
      <c r="O12" s="3">
        <f>-K383*F383*5</f>
        <v>-383806058.563115</v>
      </c>
    </row>
    <row r="13" spans="2:15" x14ac:dyDescent="0.3">
      <c r="C13" s="6"/>
      <c r="N13" t="s">
        <v>24</v>
      </c>
      <c r="O13" s="3">
        <f>K383*F383</f>
        <v>76761211.712623</v>
      </c>
    </row>
    <row r="14" spans="2:15" x14ac:dyDescent="0.3">
      <c r="C14" s="6"/>
    </row>
    <row r="15" spans="2:15" x14ac:dyDescent="0.3">
      <c r="M15" s="3">
        <f>SUM(M18:M383)</f>
        <v>-72920882.510863245</v>
      </c>
      <c r="N15" s="3">
        <f>SUM(N18:N383)</f>
        <v>0</v>
      </c>
      <c r="O15" s="3">
        <f>SUM(O18:O383)</f>
        <v>-72920882.510863245</v>
      </c>
    </row>
    <row r="16" spans="2:15" x14ac:dyDescent="0.3">
      <c r="B16" s="1" t="s">
        <v>15</v>
      </c>
    </row>
    <row r="17" spans="1:15" x14ac:dyDescent="0.3">
      <c r="A17" s="1" t="s">
        <v>0</v>
      </c>
      <c r="B17" t="s">
        <v>13</v>
      </c>
      <c r="C17" t="s">
        <v>14</v>
      </c>
      <c r="D17" t="s">
        <v>1</v>
      </c>
      <c r="E17" t="s">
        <v>2</v>
      </c>
      <c r="F17" t="s">
        <v>3</v>
      </c>
      <c r="G17" t="s">
        <v>7</v>
      </c>
      <c r="H17" t="s">
        <v>8</v>
      </c>
      <c r="I17" t="s">
        <v>11</v>
      </c>
      <c r="J17" t="s">
        <v>12</v>
      </c>
      <c r="K17" t="s">
        <v>2</v>
      </c>
      <c r="L17" t="s">
        <v>18</v>
      </c>
      <c r="M17" t="s">
        <v>22</v>
      </c>
      <c r="N17" t="s">
        <v>23</v>
      </c>
      <c r="O17" t="s">
        <v>19</v>
      </c>
    </row>
    <row r="18" spans="1:15" x14ac:dyDescent="0.3">
      <c r="A18">
        <v>0</v>
      </c>
      <c r="B18" s="4">
        <v>34.999999999999901</v>
      </c>
      <c r="C18" s="5">
        <v>34.999999999999901</v>
      </c>
      <c r="D18" s="2">
        <v>46129</v>
      </c>
      <c r="E18" s="3">
        <f>C1</f>
        <v>0</v>
      </c>
      <c r="F18" s="5">
        <f>B18</f>
        <v>34.999999999999901</v>
      </c>
      <c r="G18" s="3">
        <f>C3-E18</f>
        <v>2000000</v>
      </c>
      <c r="H18" s="3">
        <f>E18-C2</f>
        <v>0</v>
      </c>
      <c r="I18">
        <v>35</v>
      </c>
      <c r="J18" s="4">
        <f>I18-F18</f>
        <v>9.9475983006414026E-14</v>
      </c>
      <c r="K18">
        <v>0</v>
      </c>
      <c r="L18">
        <v>0</v>
      </c>
      <c r="M18">
        <f>IF(L18&gt;0,-(F18+$C$6)*L18,0)</f>
        <v>0</v>
      </c>
      <c r="N18">
        <f>IF(L18&lt;0,ABS(L18)*(F18-$C$7),0)</f>
        <v>0</v>
      </c>
      <c r="O18">
        <f>SUM(M18:N18)</f>
        <v>0</v>
      </c>
    </row>
    <row r="19" spans="1:15" x14ac:dyDescent="0.3">
      <c r="A19">
        <v>1</v>
      </c>
      <c r="B19" s="4">
        <v>35.000556525712199</v>
      </c>
      <c r="C19" s="4">
        <v>34.999443483136801</v>
      </c>
      <c r="D19" s="2">
        <f>D18+1</f>
        <v>46130</v>
      </c>
      <c r="F19" s="4">
        <f>B19</f>
        <v>35.000556525712199</v>
      </c>
      <c r="I19">
        <v>35</v>
      </c>
      <c r="J19" s="4">
        <f>I19-F19</f>
        <v>-5.5652571219866331E-4</v>
      </c>
      <c r="K19">
        <v>0</v>
      </c>
      <c r="L19">
        <v>0</v>
      </c>
      <c r="M19">
        <f t="shared" ref="M19:M82" si="0">IF(L19&gt;0,-(F19+$C$6)*L19,0)</f>
        <v>0</v>
      </c>
      <c r="N19">
        <f t="shared" ref="N19:N82" si="1">IF(L19&lt;0,ABS(L19)*(F19-$C$7),0)</f>
        <v>0</v>
      </c>
      <c r="O19">
        <f t="shared" ref="O19:O82" si="2">SUM(M19:N19)</f>
        <v>0</v>
      </c>
    </row>
    <row r="20" spans="1:15" x14ac:dyDescent="0.3">
      <c r="A20">
        <v>2</v>
      </c>
      <c r="B20" s="4">
        <v>34.998654128913103</v>
      </c>
      <c r="C20" s="4">
        <v>35.001345922842198</v>
      </c>
      <c r="D20" s="2">
        <f>D19+1</f>
        <v>46131</v>
      </c>
      <c r="F20" s="4">
        <f t="shared" ref="F20:F83" si="3">B20</f>
        <v>34.998654128913103</v>
      </c>
      <c r="I20">
        <v>35</v>
      </c>
      <c r="J20" s="4">
        <f t="shared" ref="J20:J83" si="4">I20-F20</f>
        <v>1.3458710868974322E-3</v>
      </c>
      <c r="K20">
        <v>0</v>
      </c>
      <c r="L20">
        <v>0</v>
      </c>
      <c r="M20">
        <f t="shared" si="0"/>
        <v>0</v>
      </c>
      <c r="N20">
        <f t="shared" si="1"/>
        <v>0</v>
      </c>
      <c r="O20">
        <f t="shared" si="2"/>
        <v>0</v>
      </c>
    </row>
    <row r="21" spans="1:15" x14ac:dyDescent="0.3">
      <c r="A21">
        <v>3</v>
      </c>
      <c r="B21" s="4">
        <v>35.000032042257601</v>
      </c>
      <c r="C21" s="4">
        <v>34.999967957771602</v>
      </c>
      <c r="D21" s="2">
        <f>D20+1</f>
        <v>46132</v>
      </c>
      <c r="F21" s="4">
        <f t="shared" si="3"/>
        <v>35.000032042257601</v>
      </c>
      <c r="I21">
        <v>35</v>
      </c>
      <c r="J21" s="4">
        <f t="shared" si="4"/>
        <v>-3.2042257601005986E-5</v>
      </c>
      <c r="K21">
        <v>0</v>
      </c>
      <c r="L21">
        <v>0</v>
      </c>
      <c r="M21">
        <f t="shared" si="0"/>
        <v>0</v>
      </c>
      <c r="N21">
        <f t="shared" si="1"/>
        <v>0</v>
      </c>
      <c r="O21">
        <f t="shared" si="2"/>
        <v>0</v>
      </c>
    </row>
    <row r="22" spans="1:15" x14ac:dyDescent="0.3">
      <c r="A22">
        <v>4</v>
      </c>
      <c r="B22" s="4">
        <v>35.0017497152282</v>
      </c>
      <c r="C22" s="4">
        <v>34.9982503722388</v>
      </c>
      <c r="D22" s="2">
        <f>D21+1</f>
        <v>46133</v>
      </c>
      <c r="F22" s="4">
        <f t="shared" si="3"/>
        <v>35.0017497152282</v>
      </c>
      <c r="I22">
        <v>35</v>
      </c>
      <c r="J22" s="4">
        <f t="shared" si="4"/>
        <v>-1.7497152282004436E-3</v>
      </c>
      <c r="K22">
        <v>0</v>
      </c>
      <c r="L22">
        <v>0</v>
      </c>
      <c r="M22">
        <f t="shared" si="0"/>
        <v>0</v>
      </c>
      <c r="N22">
        <f t="shared" si="1"/>
        <v>0</v>
      </c>
      <c r="O22">
        <f t="shared" si="2"/>
        <v>0</v>
      </c>
    </row>
    <row r="23" spans="1:15" x14ac:dyDescent="0.3">
      <c r="A23">
        <v>5</v>
      </c>
      <c r="B23" s="4">
        <v>34.9981768833673</v>
      </c>
      <c r="C23" s="4">
        <v>35.001823211602002</v>
      </c>
      <c r="D23" s="2">
        <f>D22+1</f>
        <v>46134</v>
      </c>
      <c r="F23" s="4">
        <f t="shared" si="3"/>
        <v>34.9981768833673</v>
      </c>
      <c r="I23">
        <v>35</v>
      </c>
      <c r="J23" s="4">
        <f t="shared" si="4"/>
        <v>1.8231166326998505E-3</v>
      </c>
      <c r="K23">
        <v>0</v>
      </c>
      <c r="L23">
        <v>0</v>
      </c>
      <c r="M23">
        <f t="shared" si="0"/>
        <v>0</v>
      </c>
      <c r="N23">
        <f t="shared" si="1"/>
        <v>0</v>
      </c>
      <c r="O23">
        <f t="shared" si="2"/>
        <v>0</v>
      </c>
    </row>
    <row r="24" spans="1:15" x14ac:dyDescent="0.3">
      <c r="A24">
        <v>6</v>
      </c>
      <c r="B24" s="4">
        <v>34.995808801788499</v>
      </c>
      <c r="C24" s="4">
        <v>35.0041917001613</v>
      </c>
      <c r="D24" s="2">
        <f>D23+1</f>
        <v>46135</v>
      </c>
      <c r="F24" s="4">
        <f t="shared" si="3"/>
        <v>34.995808801788499</v>
      </c>
      <c r="I24">
        <v>35</v>
      </c>
      <c r="J24" s="4">
        <f t="shared" si="4"/>
        <v>4.191198211501046E-3</v>
      </c>
      <c r="K24">
        <v>0</v>
      </c>
      <c r="L24">
        <v>0</v>
      </c>
      <c r="M24">
        <f t="shared" si="0"/>
        <v>0</v>
      </c>
      <c r="N24">
        <f t="shared" si="1"/>
        <v>0</v>
      </c>
      <c r="O24">
        <f t="shared" si="2"/>
        <v>0</v>
      </c>
    </row>
    <row r="25" spans="1:15" x14ac:dyDescent="0.3">
      <c r="A25">
        <v>7</v>
      </c>
      <c r="B25" s="4">
        <v>34.996065142274297</v>
      </c>
      <c r="C25" s="4">
        <v>35.003935300149699</v>
      </c>
      <c r="D25" s="2">
        <f>D24+1</f>
        <v>46136</v>
      </c>
      <c r="F25" s="4">
        <f t="shared" si="3"/>
        <v>34.996065142274297</v>
      </c>
      <c r="I25">
        <v>35</v>
      </c>
      <c r="J25" s="4">
        <f t="shared" si="4"/>
        <v>3.9348577257030115E-3</v>
      </c>
      <c r="K25">
        <v>0</v>
      </c>
      <c r="L25">
        <v>0</v>
      </c>
      <c r="M25">
        <f t="shared" si="0"/>
        <v>0</v>
      </c>
      <c r="N25">
        <f t="shared" si="1"/>
        <v>0</v>
      </c>
      <c r="O25">
        <f t="shared" si="2"/>
        <v>0</v>
      </c>
    </row>
    <row r="26" spans="1:15" x14ac:dyDescent="0.3">
      <c r="A26">
        <v>8</v>
      </c>
      <c r="B26" s="4">
        <v>34.995509126685903</v>
      </c>
      <c r="C26" s="4">
        <v>35.004491449614903</v>
      </c>
      <c r="D26" s="2">
        <f>D25+1</f>
        <v>46137</v>
      </c>
      <c r="F26" s="4">
        <f t="shared" si="3"/>
        <v>34.995509126685903</v>
      </c>
      <c r="I26">
        <v>35</v>
      </c>
      <c r="J26" s="4">
        <f t="shared" si="4"/>
        <v>4.4908733140971435E-3</v>
      </c>
      <c r="K26">
        <v>0</v>
      </c>
      <c r="L26">
        <v>0</v>
      </c>
      <c r="M26">
        <f t="shared" si="0"/>
        <v>0</v>
      </c>
      <c r="N26">
        <f t="shared" si="1"/>
        <v>0</v>
      </c>
      <c r="O26">
        <f t="shared" si="2"/>
        <v>0</v>
      </c>
    </row>
    <row r="27" spans="1:15" x14ac:dyDescent="0.3">
      <c r="A27">
        <v>9</v>
      </c>
      <c r="B27" s="4">
        <v>34.995502967666603</v>
      </c>
      <c r="C27" s="4">
        <v>35.004497610216099</v>
      </c>
      <c r="D27" s="2">
        <f>D26+1</f>
        <v>46138</v>
      </c>
      <c r="F27" s="4">
        <f t="shared" si="3"/>
        <v>34.995502967666603</v>
      </c>
      <c r="I27">
        <v>35</v>
      </c>
      <c r="J27" s="4">
        <f t="shared" si="4"/>
        <v>4.4970323333970441E-3</v>
      </c>
      <c r="K27">
        <v>0</v>
      </c>
      <c r="L27">
        <v>0</v>
      </c>
      <c r="M27">
        <f t="shared" si="0"/>
        <v>0</v>
      </c>
      <c r="N27">
        <f t="shared" si="1"/>
        <v>0</v>
      </c>
      <c r="O27">
        <f t="shared" si="2"/>
        <v>0</v>
      </c>
    </row>
    <row r="28" spans="1:15" x14ac:dyDescent="0.3">
      <c r="A28">
        <v>10</v>
      </c>
      <c r="B28" s="4">
        <v>34.993969796689598</v>
      </c>
      <c r="C28" s="4">
        <v>35.006031242442297</v>
      </c>
      <c r="D28" s="2">
        <f>D27+1</f>
        <v>46139</v>
      </c>
      <c r="F28" s="4">
        <f t="shared" si="3"/>
        <v>34.993969796689598</v>
      </c>
      <c r="I28">
        <v>35</v>
      </c>
      <c r="J28" s="4">
        <f t="shared" si="4"/>
        <v>6.0302033104022712E-3</v>
      </c>
      <c r="K28">
        <v>0</v>
      </c>
      <c r="L28">
        <v>0</v>
      </c>
      <c r="M28">
        <f t="shared" si="0"/>
        <v>0</v>
      </c>
      <c r="N28">
        <f t="shared" si="1"/>
        <v>0</v>
      </c>
      <c r="O28">
        <f t="shared" si="2"/>
        <v>0</v>
      </c>
    </row>
    <row r="29" spans="1:15" x14ac:dyDescent="0.3">
      <c r="A29">
        <v>11</v>
      </c>
      <c r="B29" s="4">
        <v>34.995608576959697</v>
      </c>
      <c r="C29" s="4">
        <v>35.0043919740978</v>
      </c>
      <c r="D29" s="2">
        <f>D28+1</f>
        <v>46140</v>
      </c>
      <c r="F29" s="4">
        <f t="shared" si="3"/>
        <v>34.995608576959697</v>
      </c>
      <c r="I29">
        <v>35</v>
      </c>
      <c r="J29" s="4">
        <f t="shared" si="4"/>
        <v>4.3914230403032661E-3</v>
      </c>
      <c r="K29">
        <v>0</v>
      </c>
      <c r="L29">
        <v>0</v>
      </c>
      <c r="M29">
        <f t="shared" si="0"/>
        <v>0</v>
      </c>
      <c r="N29">
        <f t="shared" si="1"/>
        <v>0</v>
      </c>
      <c r="O29">
        <f t="shared" si="2"/>
        <v>0</v>
      </c>
    </row>
    <row r="30" spans="1:15" x14ac:dyDescent="0.3">
      <c r="A30">
        <v>12</v>
      </c>
      <c r="B30" s="4">
        <v>34.9970529309253</v>
      </c>
      <c r="C30" s="4">
        <v>35.002947317244598</v>
      </c>
      <c r="D30" s="2">
        <f>D29+1</f>
        <v>46141</v>
      </c>
      <c r="F30" s="4">
        <f t="shared" si="3"/>
        <v>34.9970529309253</v>
      </c>
      <c r="I30">
        <v>35</v>
      </c>
      <c r="J30" s="4">
        <f t="shared" si="4"/>
        <v>2.9470690747004369E-3</v>
      </c>
      <c r="K30">
        <v>0</v>
      </c>
      <c r="L30">
        <v>0</v>
      </c>
      <c r="M30">
        <f t="shared" si="0"/>
        <v>0</v>
      </c>
      <c r="N30">
        <f t="shared" si="1"/>
        <v>0</v>
      </c>
      <c r="O30">
        <f t="shared" si="2"/>
        <v>0</v>
      </c>
    </row>
    <row r="31" spans="1:15" x14ac:dyDescent="0.3">
      <c r="A31">
        <v>13</v>
      </c>
      <c r="B31" s="4">
        <v>34.997189608965201</v>
      </c>
      <c r="C31" s="4">
        <v>35.002810616718399</v>
      </c>
      <c r="D31" s="2">
        <f>D30+1</f>
        <v>46142</v>
      </c>
      <c r="F31" s="4">
        <f t="shared" si="3"/>
        <v>34.997189608965201</v>
      </c>
      <c r="I31">
        <v>35</v>
      </c>
      <c r="J31" s="4">
        <f t="shared" si="4"/>
        <v>2.8103910347994088E-3</v>
      </c>
      <c r="K31">
        <v>0</v>
      </c>
      <c r="L31">
        <v>0</v>
      </c>
      <c r="M31">
        <f t="shared" si="0"/>
        <v>0</v>
      </c>
      <c r="N31">
        <f t="shared" si="1"/>
        <v>0</v>
      </c>
      <c r="O31">
        <f t="shared" si="2"/>
        <v>0</v>
      </c>
    </row>
    <row r="32" spans="1:15" x14ac:dyDescent="0.3">
      <c r="A32">
        <v>14</v>
      </c>
      <c r="B32" s="4">
        <v>34.999263592895701</v>
      </c>
      <c r="C32" s="4">
        <v>35.000736422598699</v>
      </c>
      <c r="D32" s="2">
        <f>D31+1</f>
        <v>46143</v>
      </c>
      <c r="F32" s="4">
        <f t="shared" si="3"/>
        <v>34.999263592895701</v>
      </c>
      <c r="I32">
        <v>35</v>
      </c>
      <c r="J32" s="4">
        <f t="shared" si="4"/>
        <v>7.3640710429856426E-4</v>
      </c>
      <c r="K32">
        <v>0</v>
      </c>
      <c r="L32">
        <v>0</v>
      </c>
      <c r="M32">
        <f t="shared" si="0"/>
        <v>0</v>
      </c>
      <c r="N32">
        <f t="shared" si="1"/>
        <v>0</v>
      </c>
      <c r="O32">
        <f t="shared" si="2"/>
        <v>0</v>
      </c>
    </row>
    <row r="33" spans="1:15" x14ac:dyDescent="0.3">
      <c r="A33">
        <v>15</v>
      </c>
      <c r="B33" s="4">
        <v>35.000121444330802</v>
      </c>
      <c r="C33" s="4">
        <v>34.999878556090501</v>
      </c>
      <c r="D33" s="2">
        <f>D32+1</f>
        <v>46144</v>
      </c>
      <c r="F33" s="4">
        <f t="shared" si="3"/>
        <v>35.000121444330802</v>
      </c>
      <c r="I33">
        <v>35</v>
      </c>
      <c r="J33" s="4">
        <f t="shared" si="4"/>
        <v>-1.2144433080152339E-4</v>
      </c>
      <c r="K33">
        <v>0</v>
      </c>
      <c r="L33">
        <v>0</v>
      </c>
      <c r="M33">
        <f t="shared" si="0"/>
        <v>0</v>
      </c>
      <c r="N33">
        <f t="shared" si="1"/>
        <v>0</v>
      </c>
      <c r="O33">
        <f t="shared" si="2"/>
        <v>0</v>
      </c>
    </row>
    <row r="34" spans="1:15" x14ac:dyDescent="0.3">
      <c r="A34">
        <v>16</v>
      </c>
      <c r="B34" s="4">
        <v>34.998551438610697</v>
      </c>
      <c r="C34" s="4">
        <v>35.001448621343897</v>
      </c>
      <c r="D34" s="2">
        <f>D33+1</f>
        <v>46145</v>
      </c>
      <c r="F34" s="4">
        <f t="shared" si="3"/>
        <v>34.998551438610697</v>
      </c>
      <c r="I34">
        <v>35</v>
      </c>
      <c r="J34" s="4">
        <f t="shared" si="4"/>
        <v>1.4485613893029381E-3</v>
      </c>
      <c r="K34">
        <v>0</v>
      </c>
      <c r="L34">
        <v>0</v>
      </c>
      <c r="M34">
        <f t="shared" si="0"/>
        <v>0</v>
      </c>
      <c r="N34">
        <f t="shared" si="1"/>
        <v>0</v>
      </c>
      <c r="O34">
        <f t="shared" si="2"/>
        <v>0</v>
      </c>
    </row>
    <row r="35" spans="1:15" x14ac:dyDescent="0.3">
      <c r="A35">
        <v>17</v>
      </c>
      <c r="B35" s="4">
        <v>34.999232796925298</v>
      </c>
      <c r="C35" s="4">
        <v>35.000767219892097</v>
      </c>
      <c r="D35" s="2">
        <f>D34+1</f>
        <v>46146</v>
      </c>
      <c r="F35" s="4">
        <f t="shared" si="3"/>
        <v>34.999232796925298</v>
      </c>
      <c r="I35">
        <v>35</v>
      </c>
      <c r="J35" s="4">
        <f t="shared" si="4"/>
        <v>7.6720307470168336E-4</v>
      </c>
      <c r="K35">
        <v>0</v>
      </c>
      <c r="L35">
        <v>0</v>
      </c>
      <c r="M35">
        <f t="shared" si="0"/>
        <v>0</v>
      </c>
      <c r="N35">
        <f t="shared" si="1"/>
        <v>0</v>
      </c>
      <c r="O35">
        <f t="shared" si="2"/>
        <v>0</v>
      </c>
    </row>
    <row r="36" spans="1:15" x14ac:dyDescent="0.3">
      <c r="A36">
        <v>18</v>
      </c>
      <c r="B36" s="4">
        <v>34.997485809194998</v>
      </c>
      <c r="C36" s="4">
        <v>35.002514371422301</v>
      </c>
      <c r="D36" s="2">
        <f>D35+1</f>
        <v>46147</v>
      </c>
      <c r="F36" s="4">
        <f t="shared" si="3"/>
        <v>34.997485809194998</v>
      </c>
      <c r="I36">
        <v>35</v>
      </c>
      <c r="J36" s="4">
        <f t="shared" si="4"/>
        <v>2.5141908050017037E-3</v>
      </c>
      <c r="K36">
        <v>0</v>
      </c>
      <c r="L36">
        <v>0</v>
      </c>
      <c r="M36">
        <f t="shared" si="0"/>
        <v>0</v>
      </c>
      <c r="N36">
        <f t="shared" si="1"/>
        <v>0</v>
      </c>
      <c r="O36">
        <f t="shared" si="2"/>
        <v>0</v>
      </c>
    </row>
    <row r="37" spans="1:15" x14ac:dyDescent="0.3">
      <c r="A37">
        <v>19</v>
      </c>
      <c r="B37" s="4">
        <v>34.999103821499098</v>
      </c>
      <c r="C37" s="4">
        <v>35.0008962014481</v>
      </c>
      <c r="D37" s="2">
        <f>D36+1</f>
        <v>46148</v>
      </c>
      <c r="F37" s="4">
        <f t="shared" si="3"/>
        <v>34.999103821499098</v>
      </c>
      <c r="I37">
        <v>35</v>
      </c>
      <c r="J37" s="4">
        <f t="shared" si="4"/>
        <v>8.961785009020673E-4</v>
      </c>
      <c r="K37">
        <v>0</v>
      </c>
      <c r="L37">
        <v>0</v>
      </c>
      <c r="M37">
        <f t="shared" si="0"/>
        <v>0</v>
      </c>
      <c r="N37">
        <f t="shared" si="1"/>
        <v>0</v>
      </c>
      <c r="O37">
        <f t="shared" si="2"/>
        <v>0</v>
      </c>
    </row>
    <row r="38" spans="1:15" x14ac:dyDescent="0.3">
      <c r="A38">
        <v>20</v>
      </c>
      <c r="B38" s="4">
        <v>34.9990175352807</v>
      </c>
      <c r="C38" s="4">
        <v>35.000982492298199</v>
      </c>
      <c r="D38" s="2">
        <f>D37+1</f>
        <v>46149</v>
      </c>
      <c r="F38" s="4">
        <f t="shared" si="3"/>
        <v>34.9990175352807</v>
      </c>
      <c r="I38">
        <v>35</v>
      </c>
      <c r="J38" s="4">
        <f t="shared" si="4"/>
        <v>9.8246471929996915E-4</v>
      </c>
      <c r="K38">
        <v>0</v>
      </c>
      <c r="L38">
        <v>0</v>
      </c>
      <c r="M38">
        <f t="shared" si="0"/>
        <v>0</v>
      </c>
      <c r="N38">
        <f t="shared" si="1"/>
        <v>0</v>
      </c>
      <c r="O38">
        <f t="shared" si="2"/>
        <v>0</v>
      </c>
    </row>
    <row r="39" spans="1:15" x14ac:dyDescent="0.3">
      <c r="A39">
        <v>21</v>
      </c>
      <c r="B39" s="4">
        <v>34.998685287105999</v>
      </c>
      <c r="C39" s="4">
        <v>35.0013147622806</v>
      </c>
      <c r="D39" s="2">
        <f>D38+1</f>
        <v>46150</v>
      </c>
      <c r="F39" s="4">
        <f t="shared" si="3"/>
        <v>34.998685287105999</v>
      </c>
      <c r="I39">
        <v>35</v>
      </c>
      <c r="J39" s="4">
        <f t="shared" si="4"/>
        <v>1.3147128940005359E-3</v>
      </c>
      <c r="K39">
        <v>0</v>
      </c>
      <c r="L39">
        <v>0</v>
      </c>
      <c r="M39">
        <f t="shared" si="0"/>
        <v>0</v>
      </c>
      <c r="N39">
        <f t="shared" si="1"/>
        <v>0</v>
      </c>
      <c r="O39">
        <f t="shared" si="2"/>
        <v>0</v>
      </c>
    </row>
    <row r="40" spans="1:15" x14ac:dyDescent="0.3">
      <c r="A40">
        <v>22</v>
      </c>
      <c r="B40" s="4">
        <v>34.997448916361201</v>
      </c>
      <c r="C40" s="4">
        <v>35.002551269595898</v>
      </c>
      <c r="D40" s="2">
        <f>D39+1</f>
        <v>46151</v>
      </c>
      <c r="F40" s="4">
        <f t="shared" si="3"/>
        <v>34.997448916361201</v>
      </c>
      <c r="I40">
        <v>35</v>
      </c>
      <c r="J40" s="4">
        <f t="shared" si="4"/>
        <v>2.5510836387994118E-3</v>
      </c>
      <c r="K40">
        <v>0</v>
      </c>
      <c r="L40">
        <v>0</v>
      </c>
      <c r="M40">
        <f t="shared" si="0"/>
        <v>0</v>
      </c>
      <c r="N40">
        <f t="shared" si="1"/>
        <v>0</v>
      </c>
      <c r="O40">
        <f t="shared" si="2"/>
        <v>0</v>
      </c>
    </row>
    <row r="41" spans="1:15" x14ac:dyDescent="0.3">
      <c r="A41">
        <v>23</v>
      </c>
      <c r="B41" s="4">
        <v>34.999695549399298</v>
      </c>
      <c r="C41" s="4">
        <v>35.000304453248901</v>
      </c>
      <c r="D41" s="2">
        <f>D40+1</f>
        <v>46152</v>
      </c>
      <c r="F41" s="4">
        <f t="shared" si="3"/>
        <v>34.999695549399298</v>
      </c>
      <c r="I41">
        <v>35</v>
      </c>
      <c r="J41" s="4">
        <f t="shared" si="4"/>
        <v>3.0445060070150021E-4</v>
      </c>
      <c r="K41">
        <v>0</v>
      </c>
      <c r="L41">
        <v>0</v>
      </c>
      <c r="M41">
        <f t="shared" si="0"/>
        <v>0</v>
      </c>
      <c r="N41">
        <f t="shared" si="1"/>
        <v>0</v>
      </c>
      <c r="O41">
        <f t="shared" si="2"/>
        <v>0</v>
      </c>
    </row>
    <row r="42" spans="1:15" x14ac:dyDescent="0.3">
      <c r="A42">
        <v>24</v>
      </c>
      <c r="B42" s="4">
        <v>34.999414989943297</v>
      </c>
      <c r="C42" s="4">
        <v>35.000585019835</v>
      </c>
      <c r="D42" s="2">
        <f>D41+1</f>
        <v>46153</v>
      </c>
      <c r="F42" s="4">
        <f t="shared" si="3"/>
        <v>34.999414989943297</v>
      </c>
      <c r="I42">
        <v>35</v>
      </c>
      <c r="J42" s="4">
        <f t="shared" si="4"/>
        <v>5.8501005670308359E-4</v>
      </c>
      <c r="K42">
        <v>0</v>
      </c>
      <c r="L42">
        <v>0</v>
      </c>
      <c r="M42">
        <f t="shared" si="0"/>
        <v>0</v>
      </c>
      <c r="N42">
        <f t="shared" si="1"/>
        <v>0</v>
      </c>
      <c r="O42">
        <f t="shared" si="2"/>
        <v>0</v>
      </c>
    </row>
    <row r="43" spans="1:15" x14ac:dyDescent="0.3">
      <c r="A43">
        <v>25</v>
      </c>
      <c r="B43" s="4">
        <v>34.9986359279753</v>
      </c>
      <c r="C43" s="4">
        <v>35.001364125189298</v>
      </c>
      <c r="D43" s="2">
        <f>D42+1</f>
        <v>46154</v>
      </c>
      <c r="F43" s="4">
        <f t="shared" si="3"/>
        <v>34.9986359279753</v>
      </c>
      <c r="I43">
        <v>35</v>
      </c>
      <c r="J43" s="4">
        <f t="shared" si="4"/>
        <v>1.3640720246996807E-3</v>
      </c>
      <c r="K43">
        <v>0</v>
      </c>
      <c r="L43">
        <v>0</v>
      </c>
      <c r="M43">
        <f t="shared" si="0"/>
        <v>0</v>
      </c>
      <c r="N43">
        <f t="shared" si="1"/>
        <v>0</v>
      </c>
      <c r="O43">
        <f t="shared" si="2"/>
        <v>0</v>
      </c>
    </row>
    <row r="44" spans="1:15" x14ac:dyDescent="0.3">
      <c r="A44">
        <v>26</v>
      </c>
      <c r="B44" s="4">
        <v>34.998000286952603</v>
      </c>
      <c r="C44" s="4">
        <v>35.001999827306697</v>
      </c>
      <c r="D44" s="2">
        <f>D43+1</f>
        <v>46155</v>
      </c>
      <c r="F44" s="4">
        <f t="shared" si="3"/>
        <v>34.998000286952603</v>
      </c>
      <c r="I44">
        <v>35</v>
      </c>
      <c r="J44" s="4">
        <f t="shared" si="4"/>
        <v>1.9997130473967673E-3</v>
      </c>
      <c r="K44">
        <v>0</v>
      </c>
      <c r="L44">
        <v>0</v>
      </c>
      <c r="M44">
        <f t="shared" si="0"/>
        <v>0</v>
      </c>
      <c r="N44">
        <f t="shared" si="1"/>
        <v>0</v>
      </c>
      <c r="O44">
        <f t="shared" si="2"/>
        <v>0</v>
      </c>
    </row>
    <row r="45" spans="1:15" x14ac:dyDescent="0.3">
      <c r="A45">
        <v>27</v>
      </c>
      <c r="B45" s="4">
        <v>34.998983349872198</v>
      </c>
      <c r="C45" s="4">
        <v>35.001016679659401</v>
      </c>
      <c r="D45" s="2">
        <f>D44+1</f>
        <v>46156</v>
      </c>
      <c r="F45" s="4">
        <f t="shared" si="3"/>
        <v>34.998983349872198</v>
      </c>
      <c r="I45">
        <v>35</v>
      </c>
      <c r="J45" s="4">
        <f t="shared" si="4"/>
        <v>1.0166501278021656E-3</v>
      </c>
      <c r="K45">
        <v>0</v>
      </c>
      <c r="L45">
        <v>0</v>
      </c>
      <c r="M45">
        <f t="shared" si="0"/>
        <v>0</v>
      </c>
      <c r="N45">
        <f t="shared" si="1"/>
        <v>0</v>
      </c>
      <c r="O45">
        <f t="shared" si="2"/>
        <v>0</v>
      </c>
    </row>
    <row r="46" spans="1:15" x14ac:dyDescent="0.3">
      <c r="A46">
        <v>28</v>
      </c>
      <c r="B46" s="4">
        <v>34.9996563187986</v>
      </c>
      <c r="C46" s="4">
        <v>35.000343684576002</v>
      </c>
      <c r="D46" s="2">
        <f>D45+1</f>
        <v>46157</v>
      </c>
      <c r="F46" s="4">
        <f t="shared" si="3"/>
        <v>34.9996563187986</v>
      </c>
      <c r="I46">
        <v>35</v>
      </c>
      <c r="J46" s="4">
        <f t="shared" si="4"/>
        <v>3.436812014001589E-4</v>
      </c>
      <c r="K46">
        <v>0</v>
      </c>
      <c r="L46">
        <v>0</v>
      </c>
      <c r="M46">
        <f t="shared" si="0"/>
        <v>0</v>
      </c>
      <c r="N46">
        <f t="shared" si="1"/>
        <v>0</v>
      </c>
      <c r="O46">
        <f t="shared" si="2"/>
        <v>0</v>
      </c>
    </row>
    <row r="47" spans="1:15" x14ac:dyDescent="0.3">
      <c r="A47">
        <v>29</v>
      </c>
      <c r="B47" s="4">
        <v>35.000411992194998</v>
      </c>
      <c r="C47" s="4">
        <v>34.999588012654499</v>
      </c>
      <c r="D47" s="2">
        <f>D46+1</f>
        <v>46158</v>
      </c>
      <c r="F47" s="4">
        <f t="shared" si="3"/>
        <v>35.000411992194998</v>
      </c>
      <c r="I47">
        <v>35</v>
      </c>
      <c r="J47" s="4">
        <f t="shared" si="4"/>
        <v>-4.1199219499787887E-4</v>
      </c>
      <c r="K47">
        <v>0</v>
      </c>
      <c r="L47">
        <v>0</v>
      </c>
      <c r="M47">
        <f t="shared" si="0"/>
        <v>0</v>
      </c>
      <c r="N47">
        <f t="shared" si="1"/>
        <v>0</v>
      </c>
      <c r="O47">
        <f t="shared" si="2"/>
        <v>0</v>
      </c>
    </row>
    <row r="48" spans="1:15" x14ac:dyDescent="0.3">
      <c r="A48">
        <v>30</v>
      </c>
      <c r="B48" s="4">
        <v>35.001196592161399</v>
      </c>
      <c r="C48" s="4">
        <v>34.9988034487466</v>
      </c>
      <c r="D48" s="2">
        <f>D47+1</f>
        <v>46159</v>
      </c>
      <c r="F48" s="4">
        <f t="shared" si="3"/>
        <v>35.001196592161399</v>
      </c>
      <c r="I48">
        <v>35</v>
      </c>
      <c r="J48" s="4">
        <f t="shared" si="4"/>
        <v>-1.1965921613992236E-3</v>
      </c>
      <c r="K48">
        <v>0</v>
      </c>
      <c r="L48">
        <v>0</v>
      </c>
      <c r="M48">
        <f t="shared" si="0"/>
        <v>0</v>
      </c>
      <c r="N48">
        <f t="shared" si="1"/>
        <v>0</v>
      </c>
      <c r="O48">
        <f t="shared" si="2"/>
        <v>0</v>
      </c>
    </row>
    <row r="49" spans="1:15" x14ac:dyDescent="0.3">
      <c r="A49">
        <v>31</v>
      </c>
      <c r="B49" s="4">
        <v>35.005101816218001</v>
      </c>
      <c r="C49" s="4">
        <v>34.994898927345702</v>
      </c>
      <c r="D49" s="2">
        <f>D48+1</f>
        <v>46160</v>
      </c>
      <c r="F49" s="4">
        <f t="shared" si="3"/>
        <v>35.005101816218001</v>
      </c>
      <c r="I49">
        <v>35</v>
      </c>
      <c r="J49" s="4">
        <f t="shared" si="4"/>
        <v>-5.1018162180014315E-3</v>
      </c>
      <c r="K49">
        <v>0</v>
      </c>
      <c r="L49">
        <v>0</v>
      </c>
      <c r="M49">
        <f t="shared" si="0"/>
        <v>0</v>
      </c>
      <c r="N49">
        <f t="shared" si="1"/>
        <v>0</v>
      </c>
      <c r="O49">
        <f t="shared" si="2"/>
        <v>0</v>
      </c>
    </row>
    <row r="50" spans="1:15" x14ac:dyDescent="0.3">
      <c r="A50">
        <v>32</v>
      </c>
      <c r="B50" s="4">
        <v>35.0043315970563</v>
      </c>
      <c r="C50" s="4">
        <v>34.995668938955298</v>
      </c>
      <c r="D50" s="2">
        <f>D49+1</f>
        <v>46161</v>
      </c>
      <c r="F50" s="4">
        <f t="shared" si="3"/>
        <v>35.0043315970563</v>
      </c>
      <c r="I50">
        <v>35</v>
      </c>
      <c r="J50" s="4">
        <f t="shared" si="4"/>
        <v>-4.3315970563000405E-3</v>
      </c>
      <c r="K50">
        <v>0</v>
      </c>
      <c r="L50">
        <v>0</v>
      </c>
      <c r="M50">
        <f t="shared" si="0"/>
        <v>0</v>
      </c>
      <c r="N50">
        <f t="shared" si="1"/>
        <v>0</v>
      </c>
      <c r="O50">
        <f t="shared" si="2"/>
        <v>0</v>
      </c>
    </row>
    <row r="51" spans="1:15" x14ac:dyDescent="0.3">
      <c r="A51">
        <v>33</v>
      </c>
      <c r="B51" s="4">
        <v>35.003372302634403</v>
      </c>
      <c r="C51" s="4">
        <v>34.996628022260602</v>
      </c>
      <c r="D51" s="2">
        <f>D50+1</f>
        <v>46162</v>
      </c>
      <c r="F51" s="4">
        <f t="shared" si="3"/>
        <v>35.003372302634403</v>
      </c>
      <c r="I51">
        <v>35</v>
      </c>
      <c r="J51" s="4">
        <f t="shared" si="4"/>
        <v>-3.3723026344034679E-3</v>
      </c>
      <c r="K51">
        <v>0</v>
      </c>
      <c r="L51">
        <v>0</v>
      </c>
      <c r="M51">
        <f t="shared" si="0"/>
        <v>0</v>
      </c>
      <c r="N51">
        <f t="shared" si="1"/>
        <v>0</v>
      </c>
      <c r="O51">
        <f t="shared" si="2"/>
        <v>0</v>
      </c>
    </row>
    <row r="52" spans="1:15" x14ac:dyDescent="0.3">
      <c r="A52">
        <v>34</v>
      </c>
      <c r="B52" s="4">
        <v>35.001867538474698</v>
      </c>
      <c r="C52" s="4">
        <v>34.998132561168397</v>
      </c>
      <c r="D52" s="2">
        <f>D51+1</f>
        <v>46163</v>
      </c>
      <c r="F52" s="4">
        <f t="shared" si="3"/>
        <v>35.001867538474698</v>
      </c>
      <c r="I52">
        <v>35</v>
      </c>
      <c r="J52" s="4">
        <f t="shared" si="4"/>
        <v>-1.8675384746984491E-3</v>
      </c>
      <c r="K52">
        <v>0</v>
      </c>
      <c r="L52">
        <v>0</v>
      </c>
      <c r="M52">
        <f t="shared" si="0"/>
        <v>0</v>
      </c>
      <c r="N52">
        <f t="shared" si="1"/>
        <v>0</v>
      </c>
      <c r="O52">
        <f t="shared" si="2"/>
        <v>0</v>
      </c>
    </row>
    <row r="53" spans="1:15" x14ac:dyDescent="0.3">
      <c r="A53">
        <v>35</v>
      </c>
      <c r="B53" s="4">
        <v>35.002982414392001</v>
      </c>
      <c r="C53" s="4">
        <v>34.997017839723298</v>
      </c>
      <c r="D53" s="2">
        <f>D52+1</f>
        <v>46164</v>
      </c>
      <c r="F53" s="4">
        <f t="shared" si="3"/>
        <v>35.002982414392001</v>
      </c>
      <c r="I53">
        <v>35</v>
      </c>
      <c r="J53" s="4">
        <f t="shared" si="4"/>
        <v>-2.982414392000976E-3</v>
      </c>
      <c r="K53">
        <v>0</v>
      </c>
      <c r="L53">
        <v>0</v>
      </c>
      <c r="M53">
        <f t="shared" si="0"/>
        <v>0</v>
      </c>
      <c r="N53">
        <f t="shared" si="1"/>
        <v>0</v>
      </c>
      <c r="O53">
        <f t="shared" si="2"/>
        <v>0</v>
      </c>
    </row>
    <row r="54" spans="1:15" x14ac:dyDescent="0.3">
      <c r="A54">
        <v>36</v>
      </c>
      <c r="B54" s="4">
        <v>35.005028266175401</v>
      </c>
      <c r="C54" s="4">
        <v>34.994972456105302</v>
      </c>
      <c r="D54" s="2">
        <f>D53+1</f>
        <v>46165</v>
      </c>
      <c r="F54" s="4">
        <f t="shared" si="3"/>
        <v>35.005028266175401</v>
      </c>
      <c r="I54">
        <v>35</v>
      </c>
      <c r="J54" s="4">
        <f t="shared" si="4"/>
        <v>-5.028266175401086E-3</v>
      </c>
      <c r="K54">
        <v>0</v>
      </c>
      <c r="L54">
        <v>0</v>
      </c>
      <c r="M54">
        <f t="shared" si="0"/>
        <v>0</v>
      </c>
      <c r="N54">
        <f t="shared" si="1"/>
        <v>0</v>
      </c>
      <c r="O54">
        <f t="shared" si="2"/>
        <v>0</v>
      </c>
    </row>
    <row r="55" spans="1:15" x14ac:dyDescent="0.3">
      <c r="A55">
        <v>37</v>
      </c>
      <c r="B55" s="4">
        <v>35.004792668651397</v>
      </c>
      <c r="C55" s="4">
        <v>34.995207987534997</v>
      </c>
      <c r="D55" s="2">
        <f>D54+1</f>
        <v>46166</v>
      </c>
      <c r="F55" s="4">
        <f t="shared" si="3"/>
        <v>35.004792668651397</v>
      </c>
      <c r="I55">
        <v>35</v>
      </c>
      <c r="J55" s="4">
        <f t="shared" si="4"/>
        <v>-4.7926686513974914E-3</v>
      </c>
      <c r="K55">
        <v>0</v>
      </c>
      <c r="L55">
        <v>0</v>
      </c>
      <c r="M55">
        <f t="shared" si="0"/>
        <v>0</v>
      </c>
      <c r="N55">
        <f t="shared" si="1"/>
        <v>0</v>
      </c>
      <c r="O55">
        <f t="shared" si="2"/>
        <v>0</v>
      </c>
    </row>
    <row r="56" spans="1:15" x14ac:dyDescent="0.3">
      <c r="A56">
        <v>38</v>
      </c>
      <c r="B56" s="4">
        <v>35.003231896812501</v>
      </c>
      <c r="C56" s="4">
        <v>34.996768401592902</v>
      </c>
      <c r="D56" s="2">
        <f>D55+1</f>
        <v>46167</v>
      </c>
      <c r="F56" s="4">
        <f t="shared" si="3"/>
        <v>35.003231896812501</v>
      </c>
      <c r="I56">
        <v>35</v>
      </c>
      <c r="J56" s="4">
        <f t="shared" si="4"/>
        <v>-3.2318968125011338E-3</v>
      </c>
      <c r="K56">
        <v>0</v>
      </c>
      <c r="L56">
        <v>0</v>
      </c>
      <c r="M56">
        <f t="shared" si="0"/>
        <v>0</v>
      </c>
      <c r="N56">
        <f t="shared" si="1"/>
        <v>0</v>
      </c>
      <c r="O56">
        <f t="shared" si="2"/>
        <v>0</v>
      </c>
    </row>
    <row r="57" spans="1:15" x14ac:dyDescent="0.3">
      <c r="A57">
        <v>39</v>
      </c>
      <c r="B57" s="4">
        <v>35.0017083469235</v>
      </c>
      <c r="C57" s="4">
        <v>34.998291736456601</v>
      </c>
      <c r="D57" s="2">
        <f>D56+1</f>
        <v>46168</v>
      </c>
      <c r="F57" s="4">
        <f t="shared" si="3"/>
        <v>35.0017083469235</v>
      </c>
      <c r="I57">
        <v>35</v>
      </c>
      <c r="J57" s="4">
        <f t="shared" si="4"/>
        <v>-1.7083469235004145E-3</v>
      </c>
      <c r="K57">
        <v>0</v>
      </c>
      <c r="L57">
        <v>0</v>
      </c>
      <c r="M57">
        <f t="shared" si="0"/>
        <v>0</v>
      </c>
      <c r="N57">
        <f t="shared" si="1"/>
        <v>0</v>
      </c>
      <c r="O57">
        <f t="shared" si="2"/>
        <v>0</v>
      </c>
    </row>
    <row r="58" spans="1:15" x14ac:dyDescent="0.3">
      <c r="A58">
        <v>40</v>
      </c>
      <c r="B58" s="4">
        <v>35.002887308518602</v>
      </c>
      <c r="C58" s="4">
        <v>34.9971129296488</v>
      </c>
      <c r="D58" s="2">
        <f>D57+1</f>
        <v>46169</v>
      </c>
      <c r="F58" s="4">
        <f t="shared" si="3"/>
        <v>35.002887308518602</v>
      </c>
      <c r="I58">
        <v>35</v>
      </c>
      <c r="J58" s="4">
        <f t="shared" si="4"/>
        <v>-2.887308518602083E-3</v>
      </c>
      <c r="K58">
        <v>0</v>
      </c>
      <c r="L58">
        <v>0</v>
      </c>
      <c r="M58">
        <f t="shared" si="0"/>
        <v>0</v>
      </c>
      <c r="N58">
        <f t="shared" si="1"/>
        <v>0</v>
      </c>
      <c r="O58">
        <f t="shared" si="2"/>
        <v>0</v>
      </c>
    </row>
    <row r="59" spans="1:15" x14ac:dyDescent="0.3">
      <c r="A59">
        <v>41</v>
      </c>
      <c r="B59" s="4">
        <v>35.004229124037401</v>
      </c>
      <c r="C59" s="4">
        <v>34.995771386914797</v>
      </c>
      <c r="D59" s="2">
        <f>D58+1</f>
        <v>46170</v>
      </c>
      <c r="F59" s="4">
        <f t="shared" si="3"/>
        <v>35.004229124037401</v>
      </c>
      <c r="I59">
        <v>35</v>
      </c>
      <c r="J59" s="4">
        <f t="shared" si="4"/>
        <v>-4.2291240374012773E-3</v>
      </c>
      <c r="K59">
        <v>0</v>
      </c>
      <c r="L59">
        <v>0</v>
      </c>
      <c r="M59">
        <f t="shared" si="0"/>
        <v>0</v>
      </c>
      <c r="N59">
        <f t="shared" si="1"/>
        <v>0</v>
      </c>
      <c r="O59">
        <f t="shared" si="2"/>
        <v>0</v>
      </c>
    </row>
    <row r="60" spans="1:15" x14ac:dyDescent="0.3">
      <c r="A60">
        <v>42</v>
      </c>
      <c r="B60" s="4">
        <v>35.0051981538085</v>
      </c>
      <c r="C60" s="4">
        <v>34.994802618099698</v>
      </c>
      <c r="D60" s="2">
        <f>D59+1</f>
        <v>46171</v>
      </c>
      <c r="F60" s="4">
        <f t="shared" si="3"/>
        <v>35.0051981538085</v>
      </c>
      <c r="I60">
        <v>35</v>
      </c>
      <c r="J60" s="4">
        <f t="shared" si="4"/>
        <v>-5.1981538085001944E-3</v>
      </c>
      <c r="K60">
        <v>0</v>
      </c>
      <c r="L60">
        <v>0</v>
      </c>
      <c r="M60">
        <f t="shared" si="0"/>
        <v>0</v>
      </c>
      <c r="N60">
        <f t="shared" si="1"/>
        <v>0</v>
      </c>
      <c r="O60">
        <f t="shared" si="2"/>
        <v>0</v>
      </c>
    </row>
    <row r="61" spans="1:15" x14ac:dyDescent="0.3">
      <c r="A61">
        <v>43</v>
      </c>
      <c r="B61" s="4">
        <v>35.003954151153799</v>
      </c>
      <c r="C61" s="4">
        <v>34.996046295518802</v>
      </c>
      <c r="D61" s="2">
        <f>D60+1</f>
        <v>46172</v>
      </c>
      <c r="F61" s="4">
        <f t="shared" si="3"/>
        <v>35.003954151153799</v>
      </c>
      <c r="I61">
        <v>35</v>
      </c>
      <c r="J61" s="4">
        <f t="shared" si="4"/>
        <v>-3.9541511537990459E-3</v>
      </c>
      <c r="K61">
        <v>0</v>
      </c>
      <c r="L61">
        <v>0</v>
      </c>
      <c r="M61">
        <f t="shared" si="0"/>
        <v>0</v>
      </c>
      <c r="N61">
        <f t="shared" si="1"/>
        <v>0</v>
      </c>
      <c r="O61">
        <f t="shared" si="2"/>
        <v>0</v>
      </c>
    </row>
    <row r="62" spans="1:15" x14ac:dyDescent="0.3">
      <c r="A62">
        <v>44</v>
      </c>
      <c r="B62" s="4">
        <v>35.004356616354002</v>
      </c>
      <c r="C62" s="4">
        <v>34.9956439258671</v>
      </c>
      <c r="D62" s="2">
        <f>D61+1</f>
        <v>46173</v>
      </c>
      <c r="F62" s="4">
        <f t="shared" si="3"/>
        <v>35.004356616354002</v>
      </c>
      <c r="I62">
        <v>35</v>
      </c>
      <c r="J62" s="4">
        <f t="shared" si="4"/>
        <v>-4.3566163540020852E-3</v>
      </c>
      <c r="K62">
        <v>0</v>
      </c>
      <c r="L62">
        <v>0</v>
      </c>
      <c r="M62">
        <f t="shared" si="0"/>
        <v>0</v>
      </c>
      <c r="N62">
        <f t="shared" si="1"/>
        <v>0</v>
      </c>
      <c r="O62">
        <f t="shared" si="2"/>
        <v>0</v>
      </c>
    </row>
    <row r="63" spans="1:15" x14ac:dyDescent="0.3">
      <c r="A63">
        <v>45</v>
      </c>
      <c r="B63" s="4">
        <v>35.004545961181002</v>
      </c>
      <c r="C63" s="4">
        <v>34.995454629192601</v>
      </c>
      <c r="D63" s="2">
        <f>D62+1</f>
        <v>46174</v>
      </c>
      <c r="F63" s="4">
        <f t="shared" si="3"/>
        <v>35.004545961181002</v>
      </c>
      <c r="I63">
        <v>35</v>
      </c>
      <c r="J63" s="4">
        <f t="shared" si="4"/>
        <v>-4.5459611810017009E-3</v>
      </c>
      <c r="K63">
        <v>0</v>
      </c>
      <c r="L63">
        <v>0</v>
      </c>
      <c r="M63">
        <f t="shared" si="0"/>
        <v>0</v>
      </c>
      <c r="N63">
        <f t="shared" si="1"/>
        <v>0</v>
      </c>
      <c r="O63">
        <f t="shared" si="2"/>
        <v>0</v>
      </c>
    </row>
    <row r="64" spans="1:15" x14ac:dyDescent="0.3">
      <c r="A64">
        <v>46</v>
      </c>
      <c r="B64" s="4">
        <v>35.004920591965401</v>
      </c>
      <c r="C64" s="4">
        <v>34.995080099715203</v>
      </c>
      <c r="D64" s="2">
        <f>D63+1</f>
        <v>46175</v>
      </c>
      <c r="F64" s="4">
        <f t="shared" si="3"/>
        <v>35.004920591965401</v>
      </c>
      <c r="I64">
        <v>35</v>
      </c>
      <c r="J64" s="4">
        <f t="shared" si="4"/>
        <v>-4.9205919654013996E-3</v>
      </c>
      <c r="K64">
        <v>0</v>
      </c>
      <c r="L64">
        <v>0</v>
      </c>
      <c r="M64">
        <f t="shared" si="0"/>
        <v>0</v>
      </c>
      <c r="N64">
        <f t="shared" si="1"/>
        <v>0</v>
      </c>
      <c r="O64">
        <f t="shared" si="2"/>
        <v>0</v>
      </c>
    </row>
    <row r="65" spans="1:15" x14ac:dyDescent="0.3">
      <c r="A65">
        <v>47</v>
      </c>
      <c r="B65" s="4">
        <v>35.006485516268697</v>
      </c>
      <c r="C65" s="4">
        <v>34.993515685277799</v>
      </c>
      <c r="D65" s="2">
        <f>D64+1</f>
        <v>46176</v>
      </c>
      <c r="F65" s="4">
        <f t="shared" si="3"/>
        <v>35.006485516268697</v>
      </c>
      <c r="I65">
        <v>35</v>
      </c>
      <c r="J65" s="4">
        <f t="shared" si="4"/>
        <v>-6.485516268696756E-3</v>
      </c>
      <c r="K65">
        <v>0</v>
      </c>
      <c r="L65">
        <v>0</v>
      </c>
      <c r="M65">
        <f t="shared" si="0"/>
        <v>0</v>
      </c>
      <c r="N65">
        <f t="shared" si="1"/>
        <v>0</v>
      </c>
      <c r="O65">
        <f t="shared" si="2"/>
        <v>0</v>
      </c>
    </row>
    <row r="66" spans="1:15" x14ac:dyDescent="0.3">
      <c r="A66">
        <v>48</v>
      </c>
      <c r="B66" s="4">
        <v>35.006858539592002</v>
      </c>
      <c r="C66" s="4">
        <v>34.993142804132198</v>
      </c>
      <c r="D66" s="2">
        <f>D65+1</f>
        <v>46177</v>
      </c>
      <c r="F66" s="4">
        <f t="shared" si="3"/>
        <v>35.006858539592002</v>
      </c>
      <c r="I66">
        <v>35</v>
      </c>
      <c r="J66" s="4">
        <f t="shared" si="4"/>
        <v>-6.8585395920024439E-3</v>
      </c>
      <c r="K66">
        <v>0</v>
      </c>
      <c r="L66">
        <v>0</v>
      </c>
      <c r="M66">
        <f t="shared" si="0"/>
        <v>0</v>
      </c>
      <c r="N66">
        <f t="shared" si="1"/>
        <v>0</v>
      </c>
      <c r="O66">
        <f t="shared" si="2"/>
        <v>0</v>
      </c>
    </row>
    <row r="67" spans="1:15" x14ac:dyDescent="0.3">
      <c r="A67">
        <v>49</v>
      </c>
      <c r="B67" s="4">
        <v>35.008061283445798</v>
      </c>
      <c r="C67" s="4">
        <v>34.991940572820603</v>
      </c>
      <c r="D67" s="2">
        <f>D66+1</f>
        <v>46178</v>
      </c>
      <c r="F67" s="4">
        <f t="shared" si="3"/>
        <v>35.008061283445798</v>
      </c>
      <c r="I67">
        <v>35</v>
      </c>
      <c r="J67" s="4">
        <f t="shared" si="4"/>
        <v>-8.0612834457980398E-3</v>
      </c>
      <c r="K67">
        <v>0</v>
      </c>
      <c r="L67">
        <v>0</v>
      </c>
      <c r="M67">
        <f t="shared" si="0"/>
        <v>0</v>
      </c>
      <c r="N67">
        <f t="shared" si="1"/>
        <v>0</v>
      </c>
      <c r="O67">
        <f t="shared" si="2"/>
        <v>0</v>
      </c>
    </row>
    <row r="68" spans="1:15" x14ac:dyDescent="0.3">
      <c r="A68">
        <v>50</v>
      </c>
      <c r="B68" s="4">
        <v>35.008140709653702</v>
      </c>
      <c r="C68" s="4">
        <v>34.991861183367398</v>
      </c>
      <c r="D68" s="2">
        <f>D67+1</f>
        <v>46179</v>
      </c>
      <c r="F68" s="4">
        <f t="shared" si="3"/>
        <v>35.008140709653702</v>
      </c>
      <c r="I68">
        <v>35</v>
      </c>
      <c r="J68" s="4">
        <f t="shared" si="4"/>
        <v>-8.1407096537020607E-3</v>
      </c>
      <c r="K68">
        <v>0</v>
      </c>
      <c r="L68">
        <v>0</v>
      </c>
      <c r="M68">
        <f t="shared" si="0"/>
        <v>0</v>
      </c>
      <c r="N68">
        <f t="shared" si="1"/>
        <v>0</v>
      </c>
      <c r="O68">
        <f t="shared" si="2"/>
        <v>0</v>
      </c>
    </row>
    <row r="69" spans="1:15" x14ac:dyDescent="0.3">
      <c r="A69">
        <v>51</v>
      </c>
      <c r="B69" s="4">
        <v>35.008624410764803</v>
      </c>
      <c r="C69" s="4">
        <v>34.9913777138676</v>
      </c>
      <c r="D69" s="2">
        <f>D68+1</f>
        <v>46180</v>
      </c>
      <c r="F69" s="4">
        <f t="shared" si="3"/>
        <v>35.008624410764803</v>
      </c>
      <c r="I69">
        <v>35</v>
      </c>
      <c r="J69" s="4">
        <f t="shared" si="4"/>
        <v>-8.6244107648028034E-3</v>
      </c>
      <c r="K69">
        <v>0</v>
      </c>
      <c r="L69">
        <v>0</v>
      </c>
      <c r="M69">
        <f t="shared" si="0"/>
        <v>0</v>
      </c>
      <c r="N69">
        <f t="shared" si="1"/>
        <v>0</v>
      </c>
      <c r="O69">
        <f t="shared" si="2"/>
        <v>0</v>
      </c>
    </row>
    <row r="70" spans="1:15" x14ac:dyDescent="0.3">
      <c r="A70">
        <v>52</v>
      </c>
      <c r="B70" s="4">
        <v>35.009730566737602</v>
      </c>
      <c r="C70" s="4">
        <v>34.990272137765601</v>
      </c>
      <c r="D70" s="2">
        <f>D69+1</f>
        <v>46181</v>
      </c>
      <c r="F70" s="4">
        <f t="shared" si="3"/>
        <v>35.009730566737602</v>
      </c>
      <c r="I70">
        <v>35</v>
      </c>
      <c r="J70" s="4">
        <f t="shared" si="4"/>
        <v>-9.7305667376019755E-3</v>
      </c>
      <c r="K70">
        <v>0</v>
      </c>
      <c r="L70">
        <v>0</v>
      </c>
      <c r="M70">
        <f t="shared" si="0"/>
        <v>0</v>
      </c>
      <c r="N70">
        <f t="shared" si="1"/>
        <v>0</v>
      </c>
      <c r="O70">
        <f t="shared" si="2"/>
        <v>0</v>
      </c>
    </row>
    <row r="71" spans="1:15" x14ac:dyDescent="0.3">
      <c r="A71">
        <v>53</v>
      </c>
      <c r="B71" s="4">
        <v>35.007015506183599</v>
      </c>
      <c r="C71" s="4">
        <v>34.9929858997438</v>
      </c>
      <c r="D71" s="2">
        <f>D70+1</f>
        <v>46182</v>
      </c>
      <c r="F71" s="4">
        <f t="shared" si="3"/>
        <v>35.007015506183599</v>
      </c>
      <c r="I71">
        <v>35</v>
      </c>
      <c r="J71" s="4">
        <f t="shared" si="4"/>
        <v>-7.0155061835990296E-3</v>
      </c>
      <c r="K71">
        <v>0</v>
      </c>
      <c r="L71">
        <v>0</v>
      </c>
      <c r="M71">
        <f t="shared" si="0"/>
        <v>0</v>
      </c>
      <c r="N71">
        <f t="shared" si="1"/>
        <v>0</v>
      </c>
      <c r="O71">
        <f t="shared" si="2"/>
        <v>0</v>
      </c>
    </row>
    <row r="72" spans="1:15" x14ac:dyDescent="0.3">
      <c r="A72">
        <v>54</v>
      </c>
      <c r="B72" s="4">
        <v>35.006393248177297</v>
      </c>
      <c r="C72" s="4">
        <v>34.993607919427099</v>
      </c>
      <c r="D72" s="2">
        <f>D71+1</f>
        <v>46183</v>
      </c>
      <c r="F72" s="4">
        <f t="shared" si="3"/>
        <v>35.006393248177297</v>
      </c>
      <c r="I72">
        <v>35</v>
      </c>
      <c r="J72" s="4">
        <f t="shared" si="4"/>
        <v>-6.3932481772965843E-3</v>
      </c>
      <c r="K72">
        <v>0</v>
      </c>
      <c r="L72">
        <v>0</v>
      </c>
      <c r="M72">
        <f t="shared" si="0"/>
        <v>0</v>
      </c>
      <c r="N72">
        <f t="shared" si="1"/>
        <v>0</v>
      </c>
      <c r="O72">
        <f t="shared" si="2"/>
        <v>0</v>
      </c>
    </row>
    <row r="73" spans="1:15" x14ac:dyDescent="0.3">
      <c r="A73">
        <v>55</v>
      </c>
      <c r="B73" s="4">
        <v>35.0054991206135</v>
      </c>
      <c r="C73" s="4">
        <v>34.994501743260003</v>
      </c>
      <c r="D73" s="2">
        <f>D72+1</f>
        <v>46184</v>
      </c>
      <c r="F73" s="4">
        <f t="shared" si="3"/>
        <v>35.0054991206135</v>
      </c>
      <c r="I73">
        <v>35</v>
      </c>
      <c r="J73" s="4">
        <f t="shared" si="4"/>
        <v>-5.499120613499997E-3</v>
      </c>
      <c r="K73">
        <v>0</v>
      </c>
      <c r="L73">
        <v>0</v>
      </c>
      <c r="M73">
        <f t="shared" si="0"/>
        <v>0</v>
      </c>
      <c r="N73">
        <f t="shared" si="1"/>
        <v>0</v>
      </c>
      <c r="O73">
        <f t="shared" si="2"/>
        <v>0</v>
      </c>
    </row>
    <row r="74" spans="1:15" x14ac:dyDescent="0.3">
      <c r="A74">
        <v>56</v>
      </c>
      <c r="B74" s="4">
        <v>35.0043021089635</v>
      </c>
      <c r="C74" s="4">
        <v>34.995698419775401</v>
      </c>
      <c r="D74" s="2">
        <f>D73+1</f>
        <v>46185</v>
      </c>
      <c r="F74" s="4">
        <f t="shared" si="3"/>
        <v>35.0043021089635</v>
      </c>
      <c r="I74">
        <v>35</v>
      </c>
      <c r="J74" s="4">
        <f t="shared" si="4"/>
        <v>-4.3021089635004728E-3</v>
      </c>
      <c r="K74">
        <v>0</v>
      </c>
      <c r="L74">
        <v>0</v>
      </c>
      <c r="M74">
        <f t="shared" si="0"/>
        <v>0</v>
      </c>
      <c r="N74">
        <f t="shared" si="1"/>
        <v>0</v>
      </c>
      <c r="O74">
        <f t="shared" si="2"/>
        <v>0</v>
      </c>
    </row>
    <row r="75" spans="1:15" x14ac:dyDescent="0.3">
      <c r="A75">
        <v>57</v>
      </c>
      <c r="B75" s="4">
        <v>35.003776049840901</v>
      </c>
      <c r="C75" s="4">
        <v>34.9962243575023</v>
      </c>
      <c r="D75" s="2">
        <f>D74+1</f>
        <v>46186</v>
      </c>
      <c r="F75" s="4">
        <f t="shared" si="3"/>
        <v>35.003776049840901</v>
      </c>
      <c r="I75">
        <v>35</v>
      </c>
      <c r="J75" s="4">
        <f t="shared" si="4"/>
        <v>-3.7760498409014076E-3</v>
      </c>
      <c r="K75">
        <v>0</v>
      </c>
      <c r="L75">
        <v>0</v>
      </c>
      <c r="M75">
        <f t="shared" si="0"/>
        <v>0</v>
      </c>
      <c r="N75">
        <f t="shared" si="1"/>
        <v>0</v>
      </c>
      <c r="O75">
        <f t="shared" si="2"/>
        <v>0</v>
      </c>
    </row>
    <row r="76" spans="1:15" x14ac:dyDescent="0.3">
      <c r="A76">
        <v>58</v>
      </c>
      <c r="B76" s="4">
        <v>35.006486120372003</v>
      </c>
      <c r="C76" s="4">
        <v>34.993515081398201</v>
      </c>
      <c r="D76" s="2">
        <f>D75+1</f>
        <v>46187</v>
      </c>
      <c r="F76" s="4">
        <f t="shared" si="3"/>
        <v>35.006486120372003</v>
      </c>
      <c r="I76">
        <v>35</v>
      </c>
      <c r="J76" s="4">
        <f t="shared" si="4"/>
        <v>-6.4861203720028016E-3</v>
      </c>
      <c r="K76">
        <v>0</v>
      </c>
      <c r="L76">
        <v>0</v>
      </c>
      <c r="M76">
        <f t="shared" si="0"/>
        <v>0</v>
      </c>
      <c r="N76">
        <f t="shared" si="1"/>
        <v>0</v>
      </c>
      <c r="O76">
        <f t="shared" si="2"/>
        <v>0</v>
      </c>
    </row>
    <row r="77" spans="1:15" x14ac:dyDescent="0.3">
      <c r="A77">
        <v>59</v>
      </c>
      <c r="B77" s="4">
        <v>35.004869128185</v>
      </c>
      <c r="C77" s="4">
        <v>34.995131549103696</v>
      </c>
      <c r="D77" s="2">
        <f>D76+1</f>
        <v>46188</v>
      </c>
      <c r="F77" s="4">
        <f t="shared" si="3"/>
        <v>35.004869128185</v>
      </c>
      <c r="I77">
        <v>35</v>
      </c>
      <c r="J77" s="4">
        <f t="shared" si="4"/>
        <v>-4.8691281849997381E-3</v>
      </c>
      <c r="K77">
        <v>0</v>
      </c>
      <c r="L77">
        <v>0</v>
      </c>
      <c r="M77">
        <f t="shared" si="0"/>
        <v>0</v>
      </c>
      <c r="N77">
        <f t="shared" si="1"/>
        <v>0</v>
      </c>
      <c r="O77">
        <f t="shared" si="2"/>
        <v>0</v>
      </c>
    </row>
    <row r="78" spans="1:15" x14ac:dyDescent="0.3">
      <c r="A78">
        <v>60</v>
      </c>
      <c r="B78" s="4">
        <v>35.006611245816103</v>
      </c>
      <c r="C78" s="4">
        <v>34.993390002764301</v>
      </c>
      <c r="D78" s="2">
        <f>D77+1</f>
        <v>46189</v>
      </c>
      <c r="F78" s="4">
        <f t="shared" si="3"/>
        <v>35.006611245816103</v>
      </c>
      <c r="I78">
        <v>35</v>
      </c>
      <c r="J78" s="4">
        <f t="shared" si="4"/>
        <v>-6.6112458161029508E-3</v>
      </c>
      <c r="K78">
        <v>0</v>
      </c>
      <c r="L78">
        <v>0</v>
      </c>
      <c r="M78">
        <f t="shared" si="0"/>
        <v>0</v>
      </c>
      <c r="N78">
        <f t="shared" si="1"/>
        <v>0</v>
      </c>
      <c r="O78">
        <f t="shared" si="2"/>
        <v>0</v>
      </c>
    </row>
    <row r="79" spans="1:15" x14ac:dyDescent="0.3">
      <c r="A79">
        <v>61</v>
      </c>
      <c r="B79" s="4">
        <v>35.0035011816205</v>
      </c>
      <c r="C79" s="4">
        <v>34.996499168580698</v>
      </c>
      <c r="D79" s="2">
        <f>D78+1</f>
        <v>46190</v>
      </c>
      <c r="F79" s="4">
        <f t="shared" si="3"/>
        <v>35.0035011816205</v>
      </c>
      <c r="I79">
        <v>35</v>
      </c>
      <c r="J79" s="4">
        <f t="shared" si="4"/>
        <v>-3.5011816204999491E-3</v>
      </c>
      <c r="K79">
        <v>0</v>
      </c>
      <c r="L79">
        <v>0</v>
      </c>
      <c r="M79">
        <f t="shared" si="0"/>
        <v>0</v>
      </c>
      <c r="N79">
        <f t="shared" si="1"/>
        <v>0</v>
      </c>
      <c r="O79">
        <f t="shared" si="2"/>
        <v>0</v>
      </c>
    </row>
    <row r="80" spans="1:15" x14ac:dyDescent="0.3">
      <c r="A80">
        <v>62</v>
      </c>
      <c r="B80" s="4">
        <v>35.002870387485402</v>
      </c>
      <c r="C80" s="4">
        <v>34.997129847898698</v>
      </c>
      <c r="D80" s="2">
        <f>D79+1</f>
        <v>46191</v>
      </c>
      <c r="F80" s="4">
        <f t="shared" si="3"/>
        <v>35.002870387485402</v>
      </c>
      <c r="I80">
        <v>35</v>
      </c>
      <c r="J80" s="4">
        <f t="shared" si="4"/>
        <v>-2.8703874854016931E-3</v>
      </c>
      <c r="K80">
        <v>0</v>
      </c>
      <c r="L80">
        <v>0</v>
      </c>
      <c r="M80">
        <f t="shared" si="0"/>
        <v>0</v>
      </c>
      <c r="N80">
        <f t="shared" si="1"/>
        <v>0</v>
      </c>
      <c r="O80">
        <f t="shared" si="2"/>
        <v>0</v>
      </c>
    </row>
    <row r="81" spans="1:15" x14ac:dyDescent="0.3">
      <c r="A81">
        <v>63</v>
      </c>
      <c r="B81" s="4">
        <v>35.003151982648497</v>
      </c>
      <c r="C81" s="4">
        <v>34.996848301182801</v>
      </c>
      <c r="D81" s="2">
        <f>D80+1</f>
        <v>46192</v>
      </c>
      <c r="F81" s="4">
        <f t="shared" si="3"/>
        <v>35.003151982648497</v>
      </c>
      <c r="I81">
        <v>35</v>
      </c>
      <c r="J81" s="4">
        <f t="shared" si="4"/>
        <v>-3.1519826484966984E-3</v>
      </c>
      <c r="K81">
        <v>0</v>
      </c>
      <c r="L81">
        <v>0</v>
      </c>
      <c r="M81">
        <f t="shared" si="0"/>
        <v>0</v>
      </c>
      <c r="N81">
        <f t="shared" si="1"/>
        <v>0</v>
      </c>
      <c r="O81">
        <f t="shared" si="2"/>
        <v>0</v>
      </c>
    </row>
    <row r="82" spans="1:15" x14ac:dyDescent="0.3">
      <c r="A82">
        <v>64</v>
      </c>
      <c r="B82" s="4">
        <v>35.004205531556302</v>
      </c>
      <c r="C82" s="4">
        <v>34.995794973711298</v>
      </c>
      <c r="D82" s="2">
        <f>D81+1</f>
        <v>46193</v>
      </c>
      <c r="F82" s="4">
        <f t="shared" si="3"/>
        <v>35.004205531556302</v>
      </c>
      <c r="I82">
        <v>35</v>
      </c>
      <c r="J82" s="4">
        <f t="shared" si="4"/>
        <v>-4.205531556301878E-3</v>
      </c>
      <c r="K82">
        <v>0</v>
      </c>
      <c r="L82">
        <v>0</v>
      </c>
      <c r="M82">
        <f t="shared" si="0"/>
        <v>0</v>
      </c>
      <c r="N82">
        <f t="shared" si="1"/>
        <v>0</v>
      </c>
      <c r="O82">
        <f t="shared" si="2"/>
        <v>0</v>
      </c>
    </row>
    <row r="83" spans="1:15" x14ac:dyDescent="0.3">
      <c r="A83">
        <v>65</v>
      </c>
      <c r="B83" s="4">
        <v>35.005481695794899</v>
      </c>
      <c r="C83" s="4">
        <v>34.994519162613003</v>
      </c>
      <c r="D83" s="2">
        <f>D82+1</f>
        <v>46194</v>
      </c>
      <c r="F83" s="4">
        <f t="shared" si="3"/>
        <v>35.005481695794899</v>
      </c>
      <c r="I83">
        <v>35</v>
      </c>
      <c r="J83" s="4">
        <f t="shared" si="4"/>
        <v>-5.4816957948986555E-3</v>
      </c>
      <c r="K83">
        <v>0</v>
      </c>
      <c r="L83">
        <v>0</v>
      </c>
      <c r="M83">
        <f t="shared" ref="M83:M146" si="5">IF(L83&gt;0,-(F83+$C$6)*L83,0)</f>
        <v>0</v>
      </c>
      <c r="N83">
        <f t="shared" ref="N83:N146" si="6">IF(L83&lt;0,ABS(L83)*(F83-$C$7),0)</f>
        <v>0</v>
      </c>
      <c r="O83">
        <f t="shared" ref="O83:O146" si="7">SUM(M83:N83)</f>
        <v>0</v>
      </c>
    </row>
    <row r="84" spans="1:15" x14ac:dyDescent="0.3">
      <c r="A84">
        <v>66</v>
      </c>
      <c r="B84" s="4">
        <v>35.006900948027301</v>
      </c>
      <c r="C84" s="4">
        <v>34.993100412363901</v>
      </c>
      <c r="D84" s="2">
        <f>D83+1</f>
        <v>46195</v>
      </c>
      <c r="F84" s="4">
        <f t="shared" ref="F84:F147" si="8">B84</f>
        <v>35.006900948027301</v>
      </c>
      <c r="I84">
        <v>35</v>
      </c>
      <c r="J84" s="4">
        <f t="shared" ref="J84:J147" si="9">I84-F84</f>
        <v>-6.9009480273010126E-3</v>
      </c>
      <c r="K84">
        <v>0</v>
      </c>
      <c r="L84">
        <v>0</v>
      </c>
      <c r="M84">
        <f t="shared" si="5"/>
        <v>0</v>
      </c>
      <c r="N84">
        <f t="shared" si="6"/>
        <v>0</v>
      </c>
      <c r="O84">
        <f t="shared" si="7"/>
        <v>0</v>
      </c>
    </row>
    <row r="85" spans="1:15" x14ac:dyDescent="0.3">
      <c r="A85">
        <v>67</v>
      </c>
      <c r="B85" s="4">
        <v>35.006226245508699</v>
      </c>
      <c r="C85" s="4">
        <v>34.993774861897997</v>
      </c>
      <c r="D85" s="2">
        <f>D84+1</f>
        <v>46196</v>
      </c>
      <c r="F85" s="4">
        <f t="shared" si="8"/>
        <v>35.006226245508699</v>
      </c>
      <c r="I85">
        <v>35</v>
      </c>
      <c r="J85" s="4">
        <f t="shared" si="9"/>
        <v>-6.226245508699435E-3</v>
      </c>
      <c r="K85">
        <v>0</v>
      </c>
      <c r="L85">
        <v>0</v>
      </c>
      <c r="M85">
        <f t="shared" si="5"/>
        <v>0</v>
      </c>
      <c r="N85">
        <f t="shared" si="6"/>
        <v>0</v>
      </c>
      <c r="O85">
        <f t="shared" si="7"/>
        <v>0</v>
      </c>
    </row>
    <row r="86" spans="1:15" x14ac:dyDescent="0.3">
      <c r="A86">
        <v>68</v>
      </c>
      <c r="B86" s="4">
        <v>35.0053476853113</v>
      </c>
      <c r="C86" s="4">
        <v>34.994653131642004</v>
      </c>
      <c r="D86" s="2">
        <f>D85+1</f>
        <v>46197</v>
      </c>
      <c r="F86" s="4">
        <f t="shared" si="8"/>
        <v>35.0053476853113</v>
      </c>
      <c r="I86">
        <v>35</v>
      </c>
      <c r="J86" s="4">
        <f t="shared" si="9"/>
        <v>-5.3476853112996992E-3</v>
      </c>
      <c r="K86">
        <v>0</v>
      </c>
      <c r="L86">
        <v>0</v>
      </c>
      <c r="M86">
        <f t="shared" si="5"/>
        <v>0</v>
      </c>
      <c r="N86">
        <f t="shared" si="6"/>
        <v>0</v>
      </c>
      <c r="O86">
        <f t="shared" si="7"/>
        <v>0</v>
      </c>
    </row>
    <row r="87" spans="1:15" x14ac:dyDescent="0.3">
      <c r="A87">
        <v>69</v>
      </c>
      <c r="B87" s="4">
        <v>35.006885721749903</v>
      </c>
      <c r="C87" s="4">
        <v>34.993115632645399</v>
      </c>
      <c r="D87" s="2">
        <f>D86+1</f>
        <v>46198</v>
      </c>
      <c r="F87" s="4">
        <f t="shared" si="8"/>
        <v>35.006885721749903</v>
      </c>
      <c r="I87">
        <v>35</v>
      </c>
      <c r="J87" s="4">
        <f t="shared" si="9"/>
        <v>-6.8857217499029844E-3</v>
      </c>
      <c r="K87">
        <v>0</v>
      </c>
      <c r="L87">
        <v>0</v>
      </c>
      <c r="M87">
        <f t="shared" si="5"/>
        <v>0</v>
      </c>
      <c r="N87">
        <f t="shared" si="6"/>
        <v>0</v>
      </c>
      <c r="O87">
        <f t="shared" si="7"/>
        <v>0</v>
      </c>
    </row>
    <row r="88" spans="1:15" x14ac:dyDescent="0.3">
      <c r="A88">
        <v>70</v>
      </c>
      <c r="B88" s="4">
        <v>35.006498660898998</v>
      </c>
      <c r="C88" s="4">
        <v>34.993502545522396</v>
      </c>
      <c r="D88" s="2">
        <f>D87+1</f>
        <v>46199</v>
      </c>
      <c r="F88" s="4">
        <f t="shared" si="8"/>
        <v>35.006498660898998</v>
      </c>
      <c r="I88">
        <v>35</v>
      </c>
      <c r="J88" s="4">
        <f t="shared" si="9"/>
        <v>-6.4986608989983097E-3</v>
      </c>
      <c r="K88">
        <v>0</v>
      </c>
      <c r="L88">
        <v>0</v>
      </c>
      <c r="M88">
        <f t="shared" si="5"/>
        <v>0</v>
      </c>
      <c r="N88">
        <f t="shared" si="6"/>
        <v>0</v>
      </c>
      <c r="O88">
        <f t="shared" si="7"/>
        <v>0</v>
      </c>
    </row>
    <row r="89" spans="1:15" x14ac:dyDescent="0.3">
      <c r="A89">
        <v>71</v>
      </c>
      <c r="B89" s="4">
        <v>35.004132962520202</v>
      </c>
      <c r="C89" s="4">
        <v>34.995867525461499</v>
      </c>
      <c r="D89" s="2">
        <f>D88+1</f>
        <v>46200</v>
      </c>
      <c r="F89" s="4">
        <f t="shared" si="8"/>
        <v>35.004132962520202</v>
      </c>
      <c r="I89">
        <v>35</v>
      </c>
      <c r="J89" s="4">
        <f t="shared" si="9"/>
        <v>-4.1329625202024545E-3</v>
      </c>
      <c r="K89">
        <v>0</v>
      </c>
      <c r="L89">
        <v>0</v>
      </c>
      <c r="M89">
        <f t="shared" si="5"/>
        <v>0</v>
      </c>
      <c r="N89">
        <f t="shared" si="6"/>
        <v>0</v>
      </c>
      <c r="O89">
        <f t="shared" si="7"/>
        <v>0</v>
      </c>
    </row>
    <row r="90" spans="1:15" x14ac:dyDescent="0.3">
      <c r="A90">
        <v>72</v>
      </c>
      <c r="B90" s="4">
        <v>35.002040426555098</v>
      </c>
      <c r="C90" s="4">
        <v>34.997959692390502</v>
      </c>
      <c r="D90" s="2">
        <f>D89+1</f>
        <v>46201</v>
      </c>
      <c r="F90" s="4">
        <f t="shared" si="8"/>
        <v>35.002040426555098</v>
      </c>
      <c r="I90">
        <v>35</v>
      </c>
      <c r="J90" s="4">
        <f t="shared" si="9"/>
        <v>-2.0404265550979517E-3</v>
      </c>
      <c r="K90">
        <v>0</v>
      </c>
      <c r="L90">
        <v>0</v>
      </c>
      <c r="M90">
        <f t="shared" si="5"/>
        <v>0</v>
      </c>
      <c r="N90">
        <f t="shared" si="6"/>
        <v>0</v>
      </c>
      <c r="O90">
        <f t="shared" si="7"/>
        <v>0</v>
      </c>
    </row>
    <row r="91" spans="1:15" x14ac:dyDescent="0.3">
      <c r="A91">
        <v>73</v>
      </c>
      <c r="B91" s="4">
        <v>35.000349981470897</v>
      </c>
      <c r="C91" s="4">
        <v>34.999650022028597</v>
      </c>
      <c r="D91" s="2">
        <f>D90+1</f>
        <v>46202</v>
      </c>
      <c r="F91" s="4">
        <f t="shared" si="8"/>
        <v>35.000349981470897</v>
      </c>
      <c r="I91">
        <v>35</v>
      </c>
      <c r="J91" s="4">
        <f t="shared" si="9"/>
        <v>-3.4998147089737586E-4</v>
      </c>
      <c r="K91">
        <v>0</v>
      </c>
      <c r="L91">
        <v>0</v>
      </c>
      <c r="M91">
        <f t="shared" si="5"/>
        <v>0</v>
      </c>
      <c r="N91">
        <f t="shared" si="6"/>
        <v>0</v>
      </c>
      <c r="O91">
        <f t="shared" si="7"/>
        <v>0</v>
      </c>
    </row>
    <row r="92" spans="1:15" x14ac:dyDescent="0.3">
      <c r="A92">
        <v>74</v>
      </c>
      <c r="B92" s="4">
        <v>35.001256082675297</v>
      </c>
      <c r="C92" s="4">
        <v>34.998743962401399</v>
      </c>
      <c r="D92" s="2">
        <f>D91+1</f>
        <v>46203</v>
      </c>
      <c r="F92" s="4">
        <f t="shared" si="8"/>
        <v>35.001256082675297</v>
      </c>
      <c r="I92">
        <v>35</v>
      </c>
      <c r="J92" s="4">
        <f t="shared" si="9"/>
        <v>-1.2560826752974208E-3</v>
      </c>
      <c r="K92">
        <v>0</v>
      </c>
      <c r="L92">
        <v>0</v>
      </c>
      <c r="M92">
        <f t="shared" si="5"/>
        <v>0</v>
      </c>
      <c r="N92">
        <f t="shared" si="6"/>
        <v>0</v>
      </c>
      <c r="O92">
        <f t="shared" si="7"/>
        <v>0</v>
      </c>
    </row>
    <row r="93" spans="1:15" x14ac:dyDescent="0.3">
      <c r="A93">
        <v>75</v>
      </c>
      <c r="B93" s="4">
        <v>35.001509353493198</v>
      </c>
      <c r="C93" s="4">
        <v>34.998490711593902</v>
      </c>
      <c r="D93" s="2">
        <f>D92+1</f>
        <v>46204</v>
      </c>
      <c r="F93" s="4">
        <f t="shared" si="8"/>
        <v>35.001509353493198</v>
      </c>
      <c r="I93">
        <v>35</v>
      </c>
      <c r="J93" s="4">
        <f t="shared" si="9"/>
        <v>-1.509353493197807E-3</v>
      </c>
      <c r="K93">
        <v>0</v>
      </c>
      <c r="L93">
        <v>0</v>
      </c>
      <c r="M93">
        <f t="shared" si="5"/>
        <v>0</v>
      </c>
      <c r="N93">
        <f t="shared" si="6"/>
        <v>0</v>
      </c>
      <c r="O93">
        <f t="shared" si="7"/>
        <v>0</v>
      </c>
    </row>
    <row r="94" spans="1:15" x14ac:dyDescent="0.3">
      <c r="A94">
        <v>76</v>
      </c>
      <c r="B94" s="4">
        <v>35.002762258696002</v>
      </c>
      <c r="C94" s="4">
        <v>34.997237959288697</v>
      </c>
      <c r="D94" s="2">
        <f>D93+1</f>
        <v>46205</v>
      </c>
      <c r="F94" s="4">
        <f t="shared" si="8"/>
        <v>35.002762258696002</v>
      </c>
      <c r="I94">
        <v>35</v>
      </c>
      <c r="J94" s="4">
        <f t="shared" si="9"/>
        <v>-2.7622586960021067E-3</v>
      </c>
      <c r="K94">
        <v>0</v>
      </c>
      <c r="L94">
        <v>0</v>
      </c>
      <c r="M94">
        <f t="shared" si="5"/>
        <v>0</v>
      </c>
      <c r="N94">
        <f t="shared" si="6"/>
        <v>0</v>
      </c>
      <c r="O94">
        <f t="shared" si="7"/>
        <v>0</v>
      </c>
    </row>
    <row r="95" spans="1:15" x14ac:dyDescent="0.3">
      <c r="A95">
        <v>77</v>
      </c>
      <c r="B95" s="4">
        <v>35.001966806964802</v>
      </c>
      <c r="C95" s="4">
        <v>34.998033303552603</v>
      </c>
      <c r="D95" s="2">
        <f>D94+1</f>
        <v>46206</v>
      </c>
      <c r="F95" s="4">
        <f t="shared" si="8"/>
        <v>35.001966806964802</v>
      </c>
      <c r="I95">
        <v>35</v>
      </c>
      <c r="J95" s="4">
        <f t="shared" si="9"/>
        <v>-1.9668069648020037E-3</v>
      </c>
      <c r="K95">
        <v>0</v>
      </c>
      <c r="L95">
        <v>0</v>
      </c>
      <c r="M95">
        <f t="shared" si="5"/>
        <v>0</v>
      </c>
      <c r="N95">
        <f t="shared" si="6"/>
        <v>0</v>
      </c>
      <c r="O95">
        <f t="shared" si="7"/>
        <v>0</v>
      </c>
    </row>
    <row r="96" spans="1:15" x14ac:dyDescent="0.3">
      <c r="A96">
        <v>78</v>
      </c>
      <c r="B96" s="4">
        <v>35.002245633443302</v>
      </c>
      <c r="C96" s="4">
        <v>34.997754510629299</v>
      </c>
      <c r="D96" s="2">
        <f>D95+1</f>
        <v>46207</v>
      </c>
      <c r="F96" s="4">
        <f t="shared" si="8"/>
        <v>35.002245633443302</v>
      </c>
      <c r="I96">
        <v>35</v>
      </c>
      <c r="J96" s="4">
        <f t="shared" si="9"/>
        <v>-2.2456334433016423E-3</v>
      </c>
      <c r="K96">
        <v>0</v>
      </c>
      <c r="L96">
        <v>0</v>
      </c>
      <c r="M96">
        <f t="shared" si="5"/>
        <v>0</v>
      </c>
      <c r="N96">
        <f t="shared" si="6"/>
        <v>0</v>
      </c>
      <c r="O96">
        <f t="shared" si="7"/>
        <v>0</v>
      </c>
    </row>
    <row r="97" spans="1:15" x14ac:dyDescent="0.3">
      <c r="A97">
        <v>79</v>
      </c>
      <c r="B97" s="4">
        <v>35.003376011375202</v>
      </c>
      <c r="C97" s="4">
        <v>34.996624314234801</v>
      </c>
      <c r="D97" s="2">
        <f>D96+1</f>
        <v>46208</v>
      </c>
      <c r="F97" s="4">
        <f t="shared" si="8"/>
        <v>35.003376011375202</v>
      </c>
      <c r="I97">
        <v>35</v>
      </c>
      <c r="J97" s="4">
        <f t="shared" si="9"/>
        <v>-3.3760113752023813E-3</v>
      </c>
      <c r="K97">
        <v>0</v>
      </c>
      <c r="L97">
        <v>0</v>
      </c>
      <c r="M97">
        <f t="shared" si="5"/>
        <v>0</v>
      </c>
      <c r="N97">
        <f t="shared" si="6"/>
        <v>0</v>
      </c>
      <c r="O97">
        <f t="shared" si="7"/>
        <v>0</v>
      </c>
    </row>
    <row r="98" spans="1:15" x14ac:dyDescent="0.3">
      <c r="A98">
        <v>80</v>
      </c>
      <c r="B98" s="4">
        <v>35.002792549020903</v>
      </c>
      <c r="C98" s="4">
        <v>34.997207673770703</v>
      </c>
      <c r="D98" s="2">
        <f>D97+1</f>
        <v>46209</v>
      </c>
      <c r="F98" s="4">
        <f t="shared" si="8"/>
        <v>35.002792549020903</v>
      </c>
      <c r="I98">
        <v>35</v>
      </c>
      <c r="J98" s="4">
        <f t="shared" si="9"/>
        <v>-2.7925490209028681E-3</v>
      </c>
      <c r="K98">
        <v>0</v>
      </c>
      <c r="L98">
        <v>0</v>
      </c>
      <c r="M98">
        <f t="shared" si="5"/>
        <v>0</v>
      </c>
      <c r="N98">
        <f t="shared" si="6"/>
        <v>0</v>
      </c>
      <c r="O98">
        <f t="shared" si="7"/>
        <v>0</v>
      </c>
    </row>
    <row r="99" spans="1:15" x14ac:dyDescent="0.3">
      <c r="A99">
        <v>81</v>
      </c>
      <c r="B99" s="4">
        <v>35.003611608507399</v>
      </c>
      <c r="C99" s="4">
        <v>34.996388764131602</v>
      </c>
      <c r="D99" s="2">
        <f>D98+1</f>
        <v>46210</v>
      </c>
      <c r="F99" s="4">
        <f t="shared" si="8"/>
        <v>35.003611608507399</v>
      </c>
      <c r="I99">
        <v>35</v>
      </c>
      <c r="J99" s="4">
        <f t="shared" si="9"/>
        <v>-3.6116085073985005E-3</v>
      </c>
      <c r="K99">
        <v>0</v>
      </c>
      <c r="L99">
        <v>0</v>
      </c>
      <c r="M99">
        <f t="shared" si="5"/>
        <v>0</v>
      </c>
      <c r="N99">
        <f t="shared" si="6"/>
        <v>0</v>
      </c>
      <c r="O99">
        <f t="shared" si="7"/>
        <v>0</v>
      </c>
    </row>
    <row r="100" spans="1:15" x14ac:dyDescent="0.3">
      <c r="A100">
        <v>82</v>
      </c>
      <c r="B100" s="4">
        <v>35.002382871109702</v>
      </c>
      <c r="C100" s="4">
        <v>34.997617291109798</v>
      </c>
      <c r="D100" s="2">
        <f>D99+1</f>
        <v>46211</v>
      </c>
      <c r="F100" s="4">
        <f t="shared" si="8"/>
        <v>35.002382871109702</v>
      </c>
      <c r="I100">
        <v>35</v>
      </c>
      <c r="J100" s="4">
        <f t="shared" si="9"/>
        <v>-2.382871109702478E-3</v>
      </c>
      <c r="K100">
        <v>0</v>
      </c>
      <c r="L100">
        <v>0</v>
      </c>
      <c r="M100">
        <f t="shared" si="5"/>
        <v>0</v>
      </c>
      <c r="N100">
        <f t="shared" si="6"/>
        <v>0</v>
      </c>
      <c r="O100">
        <f t="shared" si="7"/>
        <v>0</v>
      </c>
    </row>
    <row r="101" spans="1:15" x14ac:dyDescent="0.3">
      <c r="A101">
        <v>83</v>
      </c>
      <c r="B101" s="4">
        <v>35.001706754940201</v>
      </c>
      <c r="C101" s="4">
        <v>34.998293328284497</v>
      </c>
      <c r="D101" s="2">
        <f>D100+1</f>
        <v>46212</v>
      </c>
      <c r="F101" s="4">
        <f t="shared" si="8"/>
        <v>35.001706754940201</v>
      </c>
      <c r="I101">
        <v>35</v>
      </c>
      <c r="J101" s="4">
        <f t="shared" si="9"/>
        <v>-1.7067549402014492E-3</v>
      </c>
      <c r="K101">
        <v>0</v>
      </c>
      <c r="L101">
        <v>0</v>
      </c>
      <c r="M101">
        <f t="shared" si="5"/>
        <v>0</v>
      </c>
      <c r="N101">
        <f t="shared" si="6"/>
        <v>0</v>
      </c>
      <c r="O101">
        <f t="shared" si="7"/>
        <v>0</v>
      </c>
    </row>
    <row r="102" spans="1:15" x14ac:dyDescent="0.3">
      <c r="A102">
        <v>84</v>
      </c>
      <c r="B102" s="4">
        <v>35.001000219138298</v>
      </c>
      <c r="C102" s="4">
        <v>34.998999809444697</v>
      </c>
      <c r="D102" s="2">
        <f>D101+1</f>
        <v>46213</v>
      </c>
      <c r="F102" s="4">
        <f t="shared" si="8"/>
        <v>35.001000219138298</v>
      </c>
      <c r="I102">
        <v>35</v>
      </c>
      <c r="J102" s="4">
        <f t="shared" si="9"/>
        <v>-1.0002191382980641E-3</v>
      </c>
      <c r="K102">
        <v>0</v>
      </c>
      <c r="L102">
        <v>0</v>
      </c>
      <c r="M102">
        <f t="shared" si="5"/>
        <v>0</v>
      </c>
      <c r="N102">
        <f t="shared" si="6"/>
        <v>0</v>
      </c>
      <c r="O102">
        <f t="shared" si="7"/>
        <v>0</v>
      </c>
    </row>
    <row r="103" spans="1:15" x14ac:dyDescent="0.3">
      <c r="A103">
        <v>85</v>
      </c>
      <c r="B103" s="4">
        <v>34.998810736557601</v>
      </c>
      <c r="C103" s="4">
        <v>35.0011893038536</v>
      </c>
      <c r="D103" s="2">
        <f>D102+1</f>
        <v>46214</v>
      </c>
      <c r="F103" s="4">
        <f t="shared" si="8"/>
        <v>34.998810736557601</v>
      </c>
      <c r="I103">
        <v>35</v>
      </c>
      <c r="J103" s="4">
        <f t="shared" si="9"/>
        <v>1.1892634423986692E-3</v>
      </c>
      <c r="K103">
        <v>0</v>
      </c>
      <c r="L103">
        <v>0</v>
      </c>
      <c r="M103">
        <f t="shared" si="5"/>
        <v>0</v>
      </c>
      <c r="N103">
        <f t="shared" si="6"/>
        <v>0</v>
      </c>
      <c r="O103">
        <f t="shared" si="7"/>
        <v>0</v>
      </c>
    </row>
    <row r="104" spans="1:15" x14ac:dyDescent="0.3">
      <c r="A104">
        <v>86</v>
      </c>
      <c r="B104" s="4">
        <v>34.999706596133898</v>
      </c>
      <c r="C104" s="4">
        <v>35.000293406325603</v>
      </c>
      <c r="D104" s="2">
        <f>D103+1</f>
        <v>46215</v>
      </c>
      <c r="F104" s="4">
        <f t="shared" si="8"/>
        <v>34.999706596133898</v>
      </c>
      <c r="I104">
        <v>35</v>
      </c>
      <c r="J104" s="4">
        <f t="shared" si="9"/>
        <v>2.9340386610243741E-4</v>
      </c>
      <c r="K104">
        <v>0</v>
      </c>
      <c r="L104">
        <v>0</v>
      </c>
      <c r="M104">
        <f t="shared" si="5"/>
        <v>0</v>
      </c>
      <c r="N104">
        <f t="shared" si="6"/>
        <v>0</v>
      </c>
      <c r="O104">
        <f t="shared" si="7"/>
        <v>0</v>
      </c>
    </row>
    <row r="105" spans="1:15" x14ac:dyDescent="0.3">
      <c r="A105">
        <v>87</v>
      </c>
      <c r="B105" s="4">
        <v>34.998850921087097</v>
      </c>
      <c r="C105" s="4">
        <v>35.001149116639198</v>
      </c>
      <c r="D105" s="2">
        <f>D104+1</f>
        <v>46216</v>
      </c>
      <c r="F105" s="4">
        <f t="shared" si="8"/>
        <v>34.998850921087097</v>
      </c>
      <c r="I105">
        <v>35</v>
      </c>
      <c r="J105" s="4">
        <f t="shared" si="9"/>
        <v>1.1490789129027235E-3</v>
      </c>
      <c r="K105">
        <v>0</v>
      </c>
      <c r="L105">
        <v>0</v>
      </c>
      <c r="M105">
        <f t="shared" si="5"/>
        <v>0</v>
      </c>
      <c r="N105">
        <f t="shared" si="6"/>
        <v>0</v>
      </c>
      <c r="O105">
        <f t="shared" si="7"/>
        <v>0</v>
      </c>
    </row>
    <row r="106" spans="1:15" x14ac:dyDescent="0.3">
      <c r="A106">
        <v>88</v>
      </c>
      <c r="B106" s="4">
        <v>34.998880013749996</v>
      </c>
      <c r="C106" s="4">
        <v>35.001120022090099</v>
      </c>
      <c r="D106" s="2">
        <f>D105+1</f>
        <v>46217</v>
      </c>
      <c r="F106" s="4">
        <f t="shared" si="8"/>
        <v>34.998880013749996</v>
      </c>
      <c r="I106">
        <v>35</v>
      </c>
      <c r="J106" s="4">
        <f t="shared" si="9"/>
        <v>1.1199862500035351E-3</v>
      </c>
      <c r="K106">
        <v>0</v>
      </c>
      <c r="L106">
        <v>0</v>
      </c>
      <c r="M106">
        <f t="shared" si="5"/>
        <v>0</v>
      </c>
      <c r="N106">
        <f t="shared" si="6"/>
        <v>0</v>
      </c>
      <c r="O106">
        <f t="shared" si="7"/>
        <v>0</v>
      </c>
    </row>
    <row r="107" spans="1:15" x14ac:dyDescent="0.3">
      <c r="A107">
        <v>89</v>
      </c>
      <c r="B107" s="4">
        <v>34.999764126304498</v>
      </c>
      <c r="C107" s="4">
        <v>35.000235875285</v>
      </c>
      <c r="D107" s="2">
        <f>D106+1</f>
        <v>46218</v>
      </c>
      <c r="F107" s="4">
        <f t="shared" si="8"/>
        <v>34.999764126304498</v>
      </c>
      <c r="I107">
        <v>35</v>
      </c>
      <c r="J107" s="4">
        <f t="shared" si="9"/>
        <v>2.3587369550170934E-4</v>
      </c>
      <c r="K107">
        <v>0</v>
      </c>
      <c r="L107">
        <v>0</v>
      </c>
      <c r="M107">
        <f t="shared" si="5"/>
        <v>0</v>
      </c>
      <c r="N107">
        <f t="shared" si="6"/>
        <v>0</v>
      </c>
      <c r="O107">
        <f t="shared" si="7"/>
        <v>0</v>
      </c>
    </row>
    <row r="108" spans="1:15" x14ac:dyDescent="0.3">
      <c r="A108">
        <v>90</v>
      </c>
      <c r="B108" s="4">
        <v>35.000580942423298</v>
      </c>
      <c r="C108" s="4">
        <v>34.999419067219101</v>
      </c>
      <c r="D108" s="2">
        <f>D107+1</f>
        <v>46219</v>
      </c>
      <c r="F108" s="4">
        <f t="shared" si="8"/>
        <v>35.000580942423298</v>
      </c>
      <c r="I108">
        <v>35</v>
      </c>
      <c r="J108" s="4">
        <f t="shared" si="9"/>
        <v>-5.8094242329786994E-4</v>
      </c>
      <c r="K108">
        <v>0</v>
      </c>
      <c r="L108">
        <v>0</v>
      </c>
      <c r="M108">
        <f t="shared" si="5"/>
        <v>0</v>
      </c>
      <c r="N108">
        <f t="shared" si="6"/>
        <v>0</v>
      </c>
      <c r="O108">
        <f t="shared" si="7"/>
        <v>0</v>
      </c>
    </row>
    <row r="109" spans="1:15" x14ac:dyDescent="0.3">
      <c r="A109">
        <v>91</v>
      </c>
      <c r="B109" s="4">
        <v>35.001793040002497</v>
      </c>
      <c r="C109" s="4">
        <v>34.998207051849597</v>
      </c>
      <c r="D109" s="2">
        <f>D108+1</f>
        <v>46220</v>
      </c>
      <c r="F109" s="4">
        <f t="shared" si="8"/>
        <v>35.001793040002497</v>
      </c>
      <c r="I109">
        <v>35</v>
      </c>
      <c r="J109" s="4">
        <f t="shared" si="9"/>
        <v>-1.793040002496582E-3</v>
      </c>
      <c r="K109">
        <v>0</v>
      </c>
      <c r="L109">
        <v>0</v>
      </c>
      <c r="M109">
        <f t="shared" si="5"/>
        <v>0</v>
      </c>
      <c r="N109">
        <f t="shared" si="6"/>
        <v>0</v>
      </c>
      <c r="O109">
        <f t="shared" si="7"/>
        <v>0</v>
      </c>
    </row>
    <row r="110" spans="1:15" x14ac:dyDescent="0.3">
      <c r="A110">
        <v>92</v>
      </c>
      <c r="B110" s="4">
        <v>35.001603370362297</v>
      </c>
      <c r="C110" s="4">
        <v>34.998396703085497</v>
      </c>
      <c r="D110" s="2">
        <f>D109+1</f>
        <v>46221</v>
      </c>
      <c r="F110" s="4">
        <f t="shared" si="8"/>
        <v>35.001603370362297</v>
      </c>
      <c r="I110">
        <v>35</v>
      </c>
      <c r="J110" s="4">
        <f t="shared" si="9"/>
        <v>-1.60337036229663E-3</v>
      </c>
      <c r="K110">
        <v>0</v>
      </c>
      <c r="L110">
        <v>0</v>
      </c>
      <c r="M110">
        <f t="shared" si="5"/>
        <v>0</v>
      </c>
      <c r="N110">
        <f t="shared" si="6"/>
        <v>0</v>
      </c>
      <c r="O110">
        <f t="shared" si="7"/>
        <v>0</v>
      </c>
    </row>
    <row r="111" spans="1:15" x14ac:dyDescent="0.3">
      <c r="A111">
        <v>93</v>
      </c>
      <c r="B111" s="4">
        <v>35.000821495287397</v>
      </c>
      <c r="C111" s="4">
        <v>34.999178523993599</v>
      </c>
      <c r="D111" s="2">
        <f>D110+1</f>
        <v>46222</v>
      </c>
      <c r="F111" s="4">
        <f t="shared" si="8"/>
        <v>35.000821495287397</v>
      </c>
      <c r="I111">
        <v>35</v>
      </c>
      <c r="J111" s="4">
        <f t="shared" si="9"/>
        <v>-8.2149528739705602E-4</v>
      </c>
      <c r="K111">
        <v>0</v>
      </c>
      <c r="L111">
        <v>0</v>
      </c>
      <c r="M111">
        <f t="shared" si="5"/>
        <v>0</v>
      </c>
      <c r="N111">
        <f t="shared" si="6"/>
        <v>0</v>
      </c>
      <c r="O111">
        <f t="shared" si="7"/>
        <v>0</v>
      </c>
    </row>
    <row r="112" spans="1:15" x14ac:dyDescent="0.3">
      <c r="A112">
        <v>94</v>
      </c>
      <c r="B112" s="4">
        <v>35.000671412488103</v>
      </c>
      <c r="C112" s="4">
        <v>34.999328600391401</v>
      </c>
      <c r="D112" s="2">
        <f>D111+1</f>
        <v>46223</v>
      </c>
      <c r="F112" s="4">
        <f t="shared" si="8"/>
        <v>35.000671412488103</v>
      </c>
      <c r="I112">
        <v>35</v>
      </c>
      <c r="J112" s="4">
        <f t="shared" si="9"/>
        <v>-6.7141248810287379E-4</v>
      </c>
      <c r="K112">
        <v>0</v>
      </c>
      <c r="L112">
        <v>0</v>
      </c>
      <c r="M112">
        <f t="shared" si="5"/>
        <v>0</v>
      </c>
      <c r="N112">
        <f t="shared" si="6"/>
        <v>0</v>
      </c>
      <c r="O112">
        <f t="shared" si="7"/>
        <v>0</v>
      </c>
    </row>
    <row r="113" spans="1:15" x14ac:dyDescent="0.3">
      <c r="A113">
        <v>95</v>
      </c>
      <c r="B113" s="4">
        <v>34.997586152758103</v>
      </c>
      <c r="C113" s="4">
        <v>35.0024140137293</v>
      </c>
      <c r="D113" s="2">
        <f>D112+1</f>
        <v>46224</v>
      </c>
      <c r="F113" s="4">
        <f t="shared" si="8"/>
        <v>34.997586152758103</v>
      </c>
      <c r="I113">
        <v>35</v>
      </c>
      <c r="J113" s="4">
        <f t="shared" si="9"/>
        <v>2.4138472418968604E-3</v>
      </c>
      <c r="K113">
        <v>0</v>
      </c>
      <c r="L113">
        <v>0</v>
      </c>
      <c r="M113">
        <f t="shared" si="5"/>
        <v>0</v>
      </c>
      <c r="N113">
        <f t="shared" si="6"/>
        <v>0</v>
      </c>
      <c r="O113">
        <f t="shared" si="7"/>
        <v>0</v>
      </c>
    </row>
    <row r="114" spans="1:15" x14ac:dyDescent="0.3">
      <c r="A114">
        <v>96</v>
      </c>
      <c r="B114" s="4">
        <v>34.994956674954402</v>
      </c>
      <c r="C114" s="4">
        <v>35.005044051868097</v>
      </c>
      <c r="D114" s="2">
        <f>D113+1</f>
        <v>46225</v>
      </c>
      <c r="F114" s="4">
        <f t="shared" si="8"/>
        <v>34.994956674954402</v>
      </c>
      <c r="I114">
        <v>35</v>
      </c>
      <c r="J114" s="4">
        <f t="shared" si="9"/>
        <v>5.0433250455981238E-3</v>
      </c>
      <c r="K114">
        <v>0</v>
      </c>
      <c r="L114">
        <v>0</v>
      </c>
      <c r="M114">
        <f t="shared" si="5"/>
        <v>0</v>
      </c>
      <c r="N114">
        <f t="shared" si="6"/>
        <v>0</v>
      </c>
      <c r="O114">
        <f t="shared" si="7"/>
        <v>0</v>
      </c>
    </row>
    <row r="115" spans="1:15" x14ac:dyDescent="0.3">
      <c r="A115">
        <v>97</v>
      </c>
      <c r="B115" s="4">
        <v>34.9925689249404</v>
      </c>
      <c r="C115" s="4">
        <v>35.007432653133897</v>
      </c>
      <c r="D115" s="2">
        <f>D114+1</f>
        <v>46226</v>
      </c>
      <c r="F115" s="4">
        <f t="shared" si="8"/>
        <v>34.9925689249404</v>
      </c>
      <c r="I115">
        <v>35</v>
      </c>
      <c r="J115" s="4">
        <f t="shared" si="9"/>
        <v>7.4310750595998343E-3</v>
      </c>
      <c r="K115">
        <v>0</v>
      </c>
      <c r="L115">
        <v>0</v>
      </c>
      <c r="M115">
        <f t="shared" si="5"/>
        <v>0</v>
      </c>
      <c r="N115">
        <f t="shared" si="6"/>
        <v>0</v>
      </c>
      <c r="O115">
        <f t="shared" si="7"/>
        <v>0</v>
      </c>
    </row>
    <row r="116" spans="1:15" x14ac:dyDescent="0.3">
      <c r="A116">
        <v>98</v>
      </c>
      <c r="B116" s="4">
        <v>34.990788605936899</v>
      </c>
      <c r="C116" s="4">
        <v>35.009213818980598</v>
      </c>
      <c r="D116" s="2">
        <f>D115+1</f>
        <v>46227</v>
      </c>
      <c r="F116" s="4">
        <f t="shared" si="8"/>
        <v>34.990788605936899</v>
      </c>
      <c r="I116">
        <v>35</v>
      </c>
      <c r="J116" s="4">
        <f t="shared" si="9"/>
        <v>9.2113940631008973E-3</v>
      </c>
      <c r="K116">
        <v>0</v>
      </c>
      <c r="L116">
        <v>0</v>
      </c>
      <c r="M116">
        <f t="shared" si="5"/>
        <v>0</v>
      </c>
      <c r="N116">
        <f t="shared" si="6"/>
        <v>0</v>
      </c>
      <c r="O116">
        <f t="shared" si="7"/>
        <v>0</v>
      </c>
    </row>
    <row r="117" spans="1:15" x14ac:dyDescent="0.3">
      <c r="A117">
        <v>99</v>
      </c>
      <c r="B117" s="4">
        <v>34.991568846158998</v>
      </c>
      <c r="C117" s="4">
        <v>35.008433185311802</v>
      </c>
      <c r="D117" s="2">
        <f>D116+1</f>
        <v>46228</v>
      </c>
      <c r="F117" s="4">
        <f t="shared" si="8"/>
        <v>34.991568846158998</v>
      </c>
      <c r="I117">
        <v>35</v>
      </c>
      <c r="J117" s="4">
        <f t="shared" si="9"/>
        <v>8.4311538410020148E-3</v>
      </c>
      <c r="K117">
        <v>0</v>
      </c>
      <c r="L117">
        <v>0</v>
      </c>
      <c r="M117">
        <f t="shared" si="5"/>
        <v>0</v>
      </c>
      <c r="N117">
        <f t="shared" si="6"/>
        <v>0</v>
      </c>
      <c r="O117">
        <f t="shared" si="7"/>
        <v>0</v>
      </c>
    </row>
    <row r="118" spans="1:15" x14ac:dyDescent="0.3">
      <c r="A118">
        <v>100</v>
      </c>
      <c r="B118" s="4">
        <v>34.989961590824699</v>
      </c>
      <c r="C118" s="4">
        <v>35.0100412891343</v>
      </c>
      <c r="D118" s="2">
        <f>D117+1</f>
        <v>46229</v>
      </c>
      <c r="F118" s="4">
        <f t="shared" si="8"/>
        <v>34.989961590824699</v>
      </c>
      <c r="I118">
        <v>35</v>
      </c>
      <c r="J118" s="4">
        <f t="shared" si="9"/>
        <v>1.003840917530141E-2</v>
      </c>
      <c r="K118">
        <v>0</v>
      </c>
      <c r="L118">
        <v>0</v>
      </c>
      <c r="M118">
        <f t="shared" si="5"/>
        <v>0</v>
      </c>
      <c r="N118">
        <f t="shared" si="6"/>
        <v>0</v>
      </c>
      <c r="O118">
        <f t="shared" si="7"/>
        <v>0</v>
      </c>
    </row>
    <row r="119" spans="1:15" x14ac:dyDescent="0.3">
      <c r="A119">
        <v>101</v>
      </c>
      <c r="B119" s="4">
        <v>34.989325945209799</v>
      </c>
      <c r="C119" s="4">
        <v>35.010677311081601</v>
      </c>
      <c r="D119" s="2">
        <f>D118+1</f>
        <v>46230</v>
      </c>
      <c r="F119" s="4">
        <f t="shared" si="8"/>
        <v>34.989325945209799</v>
      </c>
      <c r="I119">
        <v>35</v>
      </c>
      <c r="J119" s="4">
        <f t="shared" si="9"/>
        <v>1.0674054790200671E-2</v>
      </c>
      <c r="K119">
        <v>0</v>
      </c>
      <c r="L119">
        <v>0</v>
      </c>
      <c r="M119">
        <f t="shared" si="5"/>
        <v>0</v>
      </c>
      <c r="N119">
        <f t="shared" si="6"/>
        <v>0</v>
      </c>
      <c r="O119">
        <f t="shared" si="7"/>
        <v>0</v>
      </c>
    </row>
    <row r="120" spans="1:15" x14ac:dyDescent="0.3">
      <c r="A120">
        <v>102</v>
      </c>
      <c r="B120" s="4">
        <v>34.991756436212803</v>
      </c>
      <c r="C120" s="4">
        <v>35.008245505854397</v>
      </c>
      <c r="D120" s="2">
        <f>D119+1</f>
        <v>46231</v>
      </c>
      <c r="F120" s="4">
        <f t="shared" si="8"/>
        <v>34.991756436212803</v>
      </c>
      <c r="I120">
        <v>35</v>
      </c>
      <c r="J120" s="4">
        <f t="shared" si="9"/>
        <v>8.243563787196706E-3</v>
      </c>
      <c r="K120">
        <v>0</v>
      </c>
      <c r="L120">
        <v>0</v>
      </c>
      <c r="M120">
        <f t="shared" si="5"/>
        <v>0</v>
      </c>
      <c r="N120">
        <f t="shared" si="6"/>
        <v>0</v>
      </c>
      <c r="O120">
        <f t="shared" si="7"/>
        <v>0</v>
      </c>
    </row>
    <row r="121" spans="1:15" x14ac:dyDescent="0.3">
      <c r="A121">
        <v>103</v>
      </c>
      <c r="B121" s="4">
        <v>34.991150941172897</v>
      </c>
      <c r="C121" s="4">
        <v>35.008851296702602</v>
      </c>
      <c r="D121" s="2">
        <f>D120+1</f>
        <v>46232</v>
      </c>
      <c r="F121" s="4">
        <f t="shared" si="8"/>
        <v>34.991150941172897</v>
      </c>
      <c r="I121">
        <v>35</v>
      </c>
      <c r="J121" s="4">
        <f t="shared" si="9"/>
        <v>8.8490588271028514E-3</v>
      </c>
      <c r="K121">
        <v>0</v>
      </c>
      <c r="L121">
        <v>0</v>
      </c>
      <c r="M121">
        <f t="shared" si="5"/>
        <v>0</v>
      </c>
      <c r="N121">
        <f t="shared" si="6"/>
        <v>0</v>
      </c>
      <c r="O121">
        <f t="shared" si="7"/>
        <v>0</v>
      </c>
    </row>
    <row r="122" spans="1:15" x14ac:dyDescent="0.3">
      <c r="A122">
        <v>104</v>
      </c>
      <c r="B122" s="4">
        <v>34.992545909282398</v>
      </c>
      <c r="C122" s="4">
        <v>35.007455678583298</v>
      </c>
      <c r="D122" s="2">
        <f>D121+1</f>
        <v>46233</v>
      </c>
      <c r="F122" s="4">
        <f t="shared" si="8"/>
        <v>34.992545909282398</v>
      </c>
      <c r="I122">
        <v>35</v>
      </c>
      <c r="J122" s="4">
        <f t="shared" si="9"/>
        <v>7.4540907176015025E-3</v>
      </c>
      <c r="K122">
        <v>0</v>
      </c>
      <c r="L122">
        <v>0</v>
      </c>
      <c r="M122">
        <f t="shared" si="5"/>
        <v>0</v>
      </c>
      <c r="N122">
        <f t="shared" si="6"/>
        <v>0</v>
      </c>
      <c r="O122">
        <f t="shared" si="7"/>
        <v>0</v>
      </c>
    </row>
    <row r="123" spans="1:15" x14ac:dyDescent="0.3">
      <c r="A123">
        <v>105</v>
      </c>
      <c r="B123" s="4">
        <v>34.990881896013001</v>
      </c>
      <c r="C123" s="4">
        <v>35.009120480029303</v>
      </c>
      <c r="D123" s="2">
        <f>D122+1</f>
        <v>46234</v>
      </c>
      <c r="F123" s="4">
        <f t="shared" si="8"/>
        <v>34.990881896013001</v>
      </c>
      <c r="I123">
        <v>35</v>
      </c>
      <c r="J123" s="4">
        <f t="shared" si="9"/>
        <v>9.1181039869994152E-3</v>
      </c>
      <c r="K123">
        <v>0</v>
      </c>
      <c r="L123">
        <v>0</v>
      </c>
      <c r="M123">
        <f t="shared" si="5"/>
        <v>0</v>
      </c>
      <c r="N123">
        <f t="shared" si="6"/>
        <v>0</v>
      </c>
      <c r="O123">
        <f t="shared" si="7"/>
        <v>0</v>
      </c>
    </row>
    <row r="124" spans="1:15" x14ac:dyDescent="0.3">
      <c r="A124">
        <v>106</v>
      </c>
      <c r="B124" s="4">
        <v>34.990556578629601</v>
      </c>
      <c r="C124" s="4">
        <v>35.009445970006702</v>
      </c>
      <c r="D124" s="2">
        <f>D123+1</f>
        <v>46235</v>
      </c>
      <c r="F124" s="4">
        <f t="shared" si="8"/>
        <v>34.990556578629601</v>
      </c>
      <c r="I124">
        <v>35</v>
      </c>
      <c r="J124" s="4">
        <f t="shared" si="9"/>
        <v>9.4434213703991077E-3</v>
      </c>
      <c r="K124">
        <v>0</v>
      </c>
      <c r="L124">
        <v>0</v>
      </c>
      <c r="M124">
        <f t="shared" si="5"/>
        <v>0</v>
      </c>
      <c r="N124">
        <f t="shared" si="6"/>
        <v>0</v>
      </c>
      <c r="O124">
        <f t="shared" si="7"/>
        <v>0</v>
      </c>
    </row>
    <row r="125" spans="1:15" x14ac:dyDescent="0.3">
      <c r="A125">
        <v>107</v>
      </c>
      <c r="B125" s="4">
        <v>34.988873571662097</v>
      </c>
      <c r="C125" s="4">
        <v>35.011129966531399</v>
      </c>
      <c r="D125" s="2">
        <f>D124+1</f>
        <v>46236</v>
      </c>
      <c r="F125" s="4">
        <f t="shared" si="8"/>
        <v>34.988873571662097</v>
      </c>
      <c r="I125">
        <v>35</v>
      </c>
      <c r="J125" s="4">
        <f t="shared" si="9"/>
        <v>1.1126428337902894E-2</v>
      </c>
      <c r="K125">
        <v>0</v>
      </c>
      <c r="L125">
        <v>0</v>
      </c>
      <c r="M125">
        <f t="shared" si="5"/>
        <v>0</v>
      </c>
      <c r="N125">
        <f t="shared" si="6"/>
        <v>0</v>
      </c>
      <c r="O125">
        <f t="shared" si="7"/>
        <v>0</v>
      </c>
    </row>
    <row r="126" spans="1:15" x14ac:dyDescent="0.3">
      <c r="A126">
        <v>108</v>
      </c>
      <c r="B126" s="4">
        <v>34.988315327351401</v>
      </c>
      <c r="C126" s="4">
        <v>35.011688574853402</v>
      </c>
      <c r="D126" s="2">
        <f>D125+1</f>
        <v>46237</v>
      </c>
      <c r="F126" s="4">
        <f t="shared" si="8"/>
        <v>34.988315327351401</v>
      </c>
      <c r="I126">
        <v>35.005555555555503</v>
      </c>
      <c r="J126" s="4">
        <f t="shared" si="9"/>
        <v>1.7240228204101982E-2</v>
      </c>
      <c r="K126">
        <v>0</v>
      </c>
      <c r="L126">
        <v>0</v>
      </c>
      <c r="M126">
        <f t="shared" si="5"/>
        <v>0</v>
      </c>
      <c r="N126">
        <f t="shared" si="6"/>
        <v>0</v>
      </c>
      <c r="O126">
        <f t="shared" si="7"/>
        <v>0</v>
      </c>
    </row>
    <row r="127" spans="1:15" x14ac:dyDescent="0.3">
      <c r="A127">
        <v>109</v>
      </c>
      <c r="B127" s="4">
        <v>34.989913347973499</v>
      </c>
      <c r="C127" s="4">
        <v>35.010089559737203</v>
      </c>
      <c r="D127" s="2">
        <f>D126+1</f>
        <v>46238</v>
      </c>
      <c r="F127" s="4">
        <f t="shared" si="8"/>
        <v>34.989913347973499</v>
      </c>
      <c r="I127">
        <v>35.016666666666602</v>
      </c>
      <c r="J127" s="4">
        <f t="shared" si="9"/>
        <v>2.6753318693103267E-2</v>
      </c>
      <c r="K127">
        <v>0</v>
      </c>
      <c r="L127">
        <v>0</v>
      </c>
      <c r="M127">
        <f t="shared" si="5"/>
        <v>0</v>
      </c>
      <c r="N127">
        <f t="shared" si="6"/>
        <v>0</v>
      </c>
      <c r="O127">
        <f t="shared" si="7"/>
        <v>0</v>
      </c>
    </row>
    <row r="128" spans="1:15" x14ac:dyDescent="0.3">
      <c r="A128">
        <v>110</v>
      </c>
      <c r="B128" s="4">
        <v>34.986814768217499</v>
      </c>
      <c r="C128" s="4">
        <v>35.013190200806797</v>
      </c>
      <c r="D128" s="2">
        <f>D127+1</f>
        <v>46239</v>
      </c>
      <c r="F128" s="4">
        <f t="shared" si="8"/>
        <v>34.986814768217499</v>
      </c>
      <c r="I128">
        <v>35.033333333333303</v>
      </c>
      <c r="J128" s="4">
        <f t="shared" si="9"/>
        <v>4.6518565115803767E-2</v>
      </c>
      <c r="K128">
        <v>0</v>
      </c>
      <c r="L128">
        <v>0</v>
      </c>
      <c r="M128">
        <f t="shared" si="5"/>
        <v>0</v>
      </c>
      <c r="N128">
        <f t="shared" si="6"/>
        <v>0</v>
      </c>
      <c r="O128">
        <f t="shared" si="7"/>
        <v>0</v>
      </c>
    </row>
    <row r="129" spans="1:15" x14ac:dyDescent="0.3">
      <c r="A129">
        <v>111</v>
      </c>
      <c r="B129" s="4">
        <v>34.987679878942899</v>
      </c>
      <c r="C129" s="4">
        <v>35.012324459309298</v>
      </c>
      <c r="D129" s="2">
        <f>D128+1</f>
        <v>46240</v>
      </c>
      <c r="F129" s="4">
        <f t="shared" si="8"/>
        <v>34.987679878942899</v>
      </c>
      <c r="I129">
        <v>35.0555555555555</v>
      </c>
      <c r="J129" s="4">
        <f t="shared" si="9"/>
        <v>6.787567661260141E-2</v>
      </c>
      <c r="K129">
        <v>0</v>
      </c>
      <c r="L129">
        <v>0</v>
      </c>
      <c r="M129">
        <f t="shared" si="5"/>
        <v>0</v>
      </c>
      <c r="N129">
        <f t="shared" si="6"/>
        <v>0</v>
      </c>
      <c r="O129">
        <f t="shared" si="7"/>
        <v>0</v>
      </c>
    </row>
    <row r="130" spans="1:15" x14ac:dyDescent="0.3">
      <c r="A130">
        <v>112</v>
      </c>
      <c r="B130" s="4">
        <v>34.988181184191603</v>
      </c>
      <c r="C130" s="4">
        <v>35.011822808139499</v>
      </c>
      <c r="D130" s="2">
        <f>D129+1</f>
        <v>46241</v>
      </c>
      <c r="F130" s="4">
        <f t="shared" si="8"/>
        <v>34.988181184191603</v>
      </c>
      <c r="I130">
        <v>35.0833333333333</v>
      </c>
      <c r="J130" s="4">
        <f t="shared" si="9"/>
        <v>9.5152149141696896E-2</v>
      </c>
      <c r="K130">
        <v>0</v>
      </c>
      <c r="L130">
        <v>0</v>
      </c>
      <c r="M130">
        <f t="shared" si="5"/>
        <v>0</v>
      </c>
      <c r="N130">
        <f t="shared" si="6"/>
        <v>0</v>
      </c>
      <c r="O130">
        <f t="shared" si="7"/>
        <v>0</v>
      </c>
    </row>
    <row r="131" spans="1:15" x14ac:dyDescent="0.3">
      <c r="A131">
        <v>113</v>
      </c>
      <c r="B131" s="4">
        <v>34.987160965835201</v>
      </c>
      <c r="C131" s="4">
        <v>35.012843745630001</v>
      </c>
      <c r="D131" s="2">
        <f>D130+1</f>
        <v>46242</v>
      </c>
      <c r="F131" s="4">
        <f t="shared" si="8"/>
        <v>34.987160965835201</v>
      </c>
      <c r="I131">
        <v>35.116666666666603</v>
      </c>
      <c r="J131" s="4">
        <f t="shared" si="9"/>
        <v>0.12950570083140178</v>
      </c>
      <c r="K131">
        <v>0</v>
      </c>
      <c r="L131">
        <v>0</v>
      </c>
      <c r="M131">
        <f t="shared" si="5"/>
        <v>0</v>
      </c>
      <c r="N131">
        <f t="shared" si="6"/>
        <v>0</v>
      </c>
      <c r="O131">
        <f t="shared" si="7"/>
        <v>0</v>
      </c>
    </row>
    <row r="132" spans="1:15" x14ac:dyDescent="0.3">
      <c r="A132">
        <v>114</v>
      </c>
      <c r="B132" s="4">
        <v>34.984591113062599</v>
      </c>
      <c r="C132" s="4">
        <v>35.015415673748002</v>
      </c>
      <c r="D132" s="2">
        <f>D131+1</f>
        <v>46243</v>
      </c>
      <c r="F132" s="4">
        <f t="shared" si="8"/>
        <v>34.984591113062599</v>
      </c>
      <c r="I132">
        <v>35.155555555555502</v>
      </c>
      <c r="J132" s="4">
        <f t="shared" si="9"/>
        <v>0.17096444249290244</v>
      </c>
      <c r="K132">
        <v>0</v>
      </c>
      <c r="L132">
        <v>0</v>
      </c>
      <c r="M132">
        <f t="shared" si="5"/>
        <v>0</v>
      </c>
      <c r="N132">
        <f t="shared" si="6"/>
        <v>0</v>
      </c>
      <c r="O132">
        <f t="shared" si="7"/>
        <v>0</v>
      </c>
    </row>
    <row r="133" spans="1:15" x14ac:dyDescent="0.3">
      <c r="A133">
        <v>115</v>
      </c>
      <c r="B133" s="4">
        <v>34.984806915111598</v>
      </c>
      <c r="C133" s="4">
        <v>35.015199682890298</v>
      </c>
      <c r="D133" s="2">
        <f>D132+1</f>
        <v>46244</v>
      </c>
      <c r="F133" s="4">
        <f t="shared" si="8"/>
        <v>34.984806915111598</v>
      </c>
      <c r="I133">
        <v>35.200000000000003</v>
      </c>
      <c r="J133" s="4">
        <f t="shared" si="9"/>
        <v>0.21519308488840494</v>
      </c>
      <c r="K133">
        <v>0</v>
      </c>
      <c r="L133">
        <v>20000</v>
      </c>
      <c r="M133">
        <f t="shared" si="5"/>
        <v>-719696.13830223191</v>
      </c>
      <c r="N133">
        <f t="shared" si="6"/>
        <v>0</v>
      </c>
      <c r="O133">
        <f t="shared" si="7"/>
        <v>-719696.13830223191</v>
      </c>
    </row>
    <row r="134" spans="1:15" x14ac:dyDescent="0.3">
      <c r="A134">
        <v>116</v>
      </c>
      <c r="B134" s="4">
        <v>34.983923252308102</v>
      </c>
      <c r="C134" s="4">
        <v>35.016084135708702</v>
      </c>
      <c r="D134" s="2">
        <f>D133+1</f>
        <v>46245</v>
      </c>
      <c r="F134" s="4">
        <f t="shared" si="8"/>
        <v>34.983923252308102</v>
      </c>
      <c r="I134">
        <v>35.25</v>
      </c>
      <c r="J134" s="4">
        <f t="shared" si="9"/>
        <v>0.26607674769189771</v>
      </c>
      <c r="K134">
        <v>20000</v>
      </c>
      <c r="L134">
        <v>20000</v>
      </c>
      <c r="M134">
        <f t="shared" si="5"/>
        <v>-719678.46504616202</v>
      </c>
      <c r="N134">
        <f t="shared" si="6"/>
        <v>0</v>
      </c>
      <c r="O134">
        <f t="shared" si="7"/>
        <v>-719678.46504616202</v>
      </c>
    </row>
    <row r="135" spans="1:15" x14ac:dyDescent="0.3">
      <c r="A135">
        <v>117</v>
      </c>
      <c r="B135" s="4">
        <v>34.9844357807495</v>
      </c>
      <c r="C135" s="4">
        <v>35.015571143613002</v>
      </c>
      <c r="D135" s="2">
        <f>D134+1</f>
        <v>46246</v>
      </c>
      <c r="F135" s="4">
        <f t="shared" si="8"/>
        <v>34.9844357807495</v>
      </c>
      <c r="I135">
        <v>35.3055555555555</v>
      </c>
      <c r="J135" s="4">
        <f t="shared" si="9"/>
        <v>0.32111977480600018</v>
      </c>
      <c r="K135">
        <v>40000</v>
      </c>
      <c r="L135">
        <v>20000</v>
      </c>
      <c r="M135">
        <f t="shared" si="5"/>
        <v>-719688.71561498998</v>
      </c>
      <c r="N135">
        <f t="shared" si="6"/>
        <v>0</v>
      </c>
      <c r="O135">
        <f t="shared" si="7"/>
        <v>-719688.71561498998</v>
      </c>
    </row>
    <row r="136" spans="1:15" x14ac:dyDescent="0.3">
      <c r="A136">
        <v>118</v>
      </c>
      <c r="B136" s="4">
        <v>34.984560646191703</v>
      </c>
      <c r="C136" s="4">
        <v>35.0154461674895</v>
      </c>
      <c r="D136" s="2">
        <f>D135+1</f>
        <v>46247</v>
      </c>
      <c r="F136" s="4">
        <f t="shared" si="8"/>
        <v>34.984560646191703</v>
      </c>
      <c r="I136">
        <v>35.366666666666603</v>
      </c>
      <c r="J136" s="4">
        <f t="shared" si="9"/>
        <v>0.38210602047490028</v>
      </c>
      <c r="K136">
        <v>60000</v>
      </c>
      <c r="L136">
        <v>20000</v>
      </c>
      <c r="M136">
        <f t="shared" si="5"/>
        <v>-719691.2129238341</v>
      </c>
      <c r="N136">
        <f t="shared" si="6"/>
        <v>0</v>
      </c>
      <c r="O136">
        <f t="shared" si="7"/>
        <v>-719691.2129238341</v>
      </c>
    </row>
    <row r="137" spans="1:15" x14ac:dyDescent="0.3">
      <c r="A137">
        <v>119</v>
      </c>
      <c r="B137" s="4">
        <v>34.987569192174199</v>
      </c>
      <c r="C137" s="4">
        <v>35.012435224393897</v>
      </c>
      <c r="D137" s="2">
        <f>D136+1</f>
        <v>46248</v>
      </c>
      <c r="F137" s="4">
        <f t="shared" si="8"/>
        <v>34.987569192174199</v>
      </c>
      <c r="I137">
        <v>35.433333333333302</v>
      </c>
      <c r="J137" s="4">
        <f t="shared" si="9"/>
        <v>0.44576414115910268</v>
      </c>
      <c r="K137">
        <v>80000</v>
      </c>
      <c r="L137">
        <v>20000</v>
      </c>
      <c r="M137">
        <f t="shared" si="5"/>
        <v>-719751.38384348399</v>
      </c>
      <c r="N137">
        <f t="shared" si="6"/>
        <v>0</v>
      </c>
      <c r="O137">
        <f t="shared" si="7"/>
        <v>-719751.38384348399</v>
      </c>
    </row>
    <row r="138" spans="1:15" x14ac:dyDescent="0.3">
      <c r="A138">
        <v>120</v>
      </c>
      <c r="B138" s="4">
        <v>34.987200070569401</v>
      </c>
      <c r="C138" s="4">
        <v>35.012804612234298</v>
      </c>
      <c r="D138" s="2">
        <f>D137+1</f>
        <v>46249</v>
      </c>
      <c r="F138" s="4">
        <f t="shared" si="8"/>
        <v>34.987200070569401</v>
      </c>
      <c r="I138">
        <v>35.505555555555503</v>
      </c>
      <c r="J138" s="4">
        <f t="shared" si="9"/>
        <v>0.51835548498610251</v>
      </c>
      <c r="K138">
        <v>100000</v>
      </c>
      <c r="L138">
        <v>20000</v>
      </c>
      <c r="M138">
        <f t="shared" si="5"/>
        <v>-719744.00141138805</v>
      </c>
      <c r="N138">
        <f t="shared" si="6"/>
        <v>0</v>
      </c>
      <c r="O138">
        <f t="shared" si="7"/>
        <v>-719744.00141138805</v>
      </c>
    </row>
    <row r="139" spans="1:15" x14ac:dyDescent="0.3">
      <c r="A139">
        <v>121</v>
      </c>
      <c r="B139" s="4">
        <v>34.985401415846702</v>
      </c>
      <c r="C139" s="4">
        <v>35.014604675798601</v>
      </c>
      <c r="D139" s="2">
        <f>D138+1</f>
        <v>46250</v>
      </c>
      <c r="F139" s="4">
        <f t="shared" si="8"/>
        <v>34.985401415846702</v>
      </c>
      <c r="I139">
        <v>35.5833333333333</v>
      </c>
      <c r="J139" s="4">
        <f t="shared" si="9"/>
        <v>0.5979319174865978</v>
      </c>
      <c r="K139">
        <v>120000</v>
      </c>
      <c r="L139">
        <v>20000</v>
      </c>
      <c r="M139">
        <f t="shared" si="5"/>
        <v>-719708.02831693401</v>
      </c>
      <c r="N139">
        <f t="shared" si="6"/>
        <v>0</v>
      </c>
      <c r="O139">
        <f t="shared" si="7"/>
        <v>-719708.02831693401</v>
      </c>
    </row>
    <row r="140" spans="1:15" x14ac:dyDescent="0.3">
      <c r="A140">
        <v>122</v>
      </c>
      <c r="B140" s="4">
        <v>34.985808404841102</v>
      </c>
      <c r="C140" s="4">
        <v>35.014197351817899</v>
      </c>
      <c r="D140" s="2">
        <f>D139+1</f>
        <v>46251</v>
      </c>
      <c r="F140" s="4">
        <f t="shared" si="8"/>
        <v>34.985808404841102</v>
      </c>
      <c r="I140">
        <v>35.6666666666666</v>
      </c>
      <c r="J140" s="4">
        <f t="shared" si="9"/>
        <v>0.6808582618254988</v>
      </c>
      <c r="K140">
        <v>140000</v>
      </c>
      <c r="L140">
        <v>20000</v>
      </c>
      <c r="M140">
        <f t="shared" si="5"/>
        <v>-719716.16809682199</v>
      </c>
      <c r="N140">
        <f t="shared" si="6"/>
        <v>0</v>
      </c>
      <c r="O140">
        <f t="shared" si="7"/>
        <v>-719716.16809682199</v>
      </c>
    </row>
    <row r="141" spans="1:15" x14ac:dyDescent="0.3">
      <c r="A141">
        <v>123</v>
      </c>
      <c r="B141" s="4">
        <v>34.986287517909702</v>
      </c>
      <c r="C141" s="4">
        <v>35.013717856543401</v>
      </c>
      <c r="D141" s="2">
        <f>D140+1</f>
        <v>46252</v>
      </c>
      <c r="F141" s="4">
        <f t="shared" si="8"/>
        <v>34.986287517909702</v>
      </c>
      <c r="I141">
        <v>35.755555555555503</v>
      </c>
      <c r="J141" s="4">
        <f t="shared" si="9"/>
        <v>0.76926803764580143</v>
      </c>
      <c r="K141">
        <v>160000</v>
      </c>
      <c r="L141">
        <v>20000</v>
      </c>
      <c r="M141">
        <f t="shared" si="5"/>
        <v>-719725.750358194</v>
      </c>
      <c r="N141">
        <f t="shared" si="6"/>
        <v>0</v>
      </c>
      <c r="O141">
        <f t="shared" si="7"/>
        <v>-719725.750358194</v>
      </c>
    </row>
    <row r="142" spans="1:15" x14ac:dyDescent="0.3">
      <c r="A142">
        <v>124</v>
      </c>
      <c r="B142" s="4">
        <v>34.988843862137102</v>
      </c>
      <c r="C142" s="4">
        <v>35.011159694979803</v>
      </c>
      <c r="D142" s="2">
        <f>D141+1</f>
        <v>46253</v>
      </c>
      <c r="F142" s="4">
        <f t="shared" si="8"/>
        <v>34.988843862137102</v>
      </c>
      <c r="I142">
        <v>35.85</v>
      </c>
      <c r="J142" s="4">
        <f t="shared" si="9"/>
        <v>0.86115613786289913</v>
      </c>
      <c r="K142">
        <v>180000</v>
      </c>
      <c r="L142">
        <v>20000</v>
      </c>
      <c r="M142">
        <f t="shared" si="5"/>
        <v>-719776.87724274199</v>
      </c>
      <c r="N142">
        <f t="shared" si="6"/>
        <v>0</v>
      </c>
      <c r="O142">
        <f t="shared" si="7"/>
        <v>-719776.87724274199</v>
      </c>
    </row>
    <row r="143" spans="1:15" x14ac:dyDescent="0.3">
      <c r="A143">
        <v>125</v>
      </c>
      <c r="B143" s="4">
        <v>34.9904295317858</v>
      </c>
      <c r="C143" s="4">
        <v>35.009573085897401</v>
      </c>
      <c r="D143" s="2">
        <f>D142+1</f>
        <v>46254</v>
      </c>
      <c r="F143" s="4">
        <f t="shared" si="8"/>
        <v>34.9904295317858</v>
      </c>
      <c r="I143">
        <v>35.950000000000003</v>
      </c>
      <c r="J143" s="4">
        <f t="shared" si="9"/>
        <v>0.95957046821420278</v>
      </c>
      <c r="K143">
        <v>200000</v>
      </c>
      <c r="L143">
        <v>20000</v>
      </c>
      <c r="M143">
        <f t="shared" si="5"/>
        <v>-719808.59063571598</v>
      </c>
      <c r="N143">
        <f t="shared" si="6"/>
        <v>0</v>
      </c>
      <c r="O143">
        <f t="shared" si="7"/>
        <v>-719808.59063571598</v>
      </c>
    </row>
    <row r="144" spans="1:15" x14ac:dyDescent="0.3">
      <c r="A144">
        <v>126</v>
      </c>
      <c r="B144" s="4">
        <v>34.991133388230899</v>
      </c>
      <c r="C144" s="4">
        <v>35.008868858532502</v>
      </c>
      <c r="D144" s="2">
        <f>D143+1</f>
        <v>46255</v>
      </c>
      <c r="F144" s="4">
        <f t="shared" si="8"/>
        <v>34.991133388230899</v>
      </c>
      <c r="I144">
        <v>36.0555555555555</v>
      </c>
      <c r="J144" s="4">
        <f t="shared" si="9"/>
        <v>1.0644221673246008</v>
      </c>
      <c r="K144">
        <v>220000</v>
      </c>
      <c r="L144">
        <v>20000</v>
      </c>
      <c r="M144">
        <f t="shared" si="5"/>
        <v>-719822.66776461795</v>
      </c>
      <c r="N144">
        <f t="shared" si="6"/>
        <v>0</v>
      </c>
      <c r="O144">
        <f t="shared" si="7"/>
        <v>-719822.66776461795</v>
      </c>
    </row>
    <row r="145" spans="1:15" x14ac:dyDescent="0.3">
      <c r="A145">
        <v>127</v>
      </c>
      <c r="B145" s="4">
        <v>34.993853738276599</v>
      </c>
      <c r="C145" s="4">
        <v>35.006147341242396</v>
      </c>
      <c r="D145" s="2">
        <f>D144+1</f>
        <v>46256</v>
      </c>
      <c r="F145" s="4">
        <f t="shared" si="8"/>
        <v>34.993853738276599</v>
      </c>
      <c r="I145">
        <v>36.1666666666666</v>
      </c>
      <c r="J145" s="4">
        <f t="shared" si="9"/>
        <v>1.1728129283900017</v>
      </c>
      <c r="K145">
        <v>240000</v>
      </c>
      <c r="L145">
        <v>20000</v>
      </c>
      <c r="M145">
        <f t="shared" si="5"/>
        <v>-719877.07476553193</v>
      </c>
      <c r="N145">
        <f t="shared" si="6"/>
        <v>0</v>
      </c>
      <c r="O145">
        <f t="shared" si="7"/>
        <v>-719877.07476553193</v>
      </c>
    </row>
    <row r="146" spans="1:15" x14ac:dyDescent="0.3">
      <c r="A146">
        <v>128</v>
      </c>
      <c r="B146" s="4">
        <v>34.991716642694001</v>
      </c>
      <c r="C146" s="4">
        <v>35.008285318170202</v>
      </c>
      <c r="D146" s="2">
        <f>D145+1</f>
        <v>46257</v>
      </c>
      <c r="F146" s="4">
        <f t="shared" si="8"/>
        <v>34.991716642694001</v>
      </c>
      <c r="I146">
        <v>36.283333333333303</v>
      </c>
      <c r="J146" s="4">
        <f t="shared" si="9"/>
        <v>1.2916166906393016</v>
      </c>
      <c r="K146">
        <v>260000</v>
      </c>
      <c r="L146">
        <v>20000</v>
      </c>
      <c r="M146">
        <f t="shared" si="5"/>
        <v>-719834.33285388001</v>
      </c>
      <c r="N146">
        <f t="shared" si="6"/>
        <v>0</v>
      </c>
      <c r="O146">
        <f t="shared" si="7"/>
        <v>-719834.33285388001</v>
      </c>
    </row>
    <row r="147" spans="1:15" x14ac:dyDescent="0.3">
      <c r="A147">
        <v>129</v>
      </c>
      <c r="B147" s="4">
        <v>34.990593752286998</v>
      </c>
      <c r="C147" s="4">
        <v>35.009408776320903</v>
      </c>
      <c r="D147" s="2">
        <f>D146+1</f>
        <v>46258</v>
      </c>
      <c r="F147" s="4">
        <f t="shared" si="8"/>
        <v>34.990593752286998</v>
      </c>
      <c r="I147">
        <v>36.405555555555502</v>
      </c>
      <c r="J147" s="4">
        <f t="shared" si="9"/>
        <v>1.4149618032685041</v>
      </c>
      <c r="K147">
        <v>280000</v>
      </c>
      <c r="L147">
        <v>20000</v>
      </c>
      <c r="M147">
        <f t="shared" ref="M147:M210" si="10">IF(L147&gt;0,-(F147+$C$6)*L147,0)</f>
        <v>-719811.87504573993</v>
      </c>
      <c r="N147">
        <f t="shared" ref="N147:N210" si="11">IF(L147&lt;0,ABS(L147)*(F147-$C$7),0)</f>
        <v>0</v>
      </c>
      <c r="O147">
        <f t="shared" ref="O147:O210" si="12">SUM(M147:N147)</f>
        <v>-719811.87504573993</v>
      </c>
    </row>
    <row r="148" spans="1:15" x14ac:dyDescent="0.3">
      <c r="A148">
        <v>130</v>
      </c>
      <c r="B148" s="4">
        <v>34.9889533479097</v>
      </c>
      <c r="C148" s="4">
        <v>35.011050139720098</v>
      </c>
      <c r="D148" s="2">
        <f>D147+1</f>
        <v>46259</v>
      </c>
      <c r="F148" s="4">
        <f t="shared" ref="F148:F211" si="13">B148</f>
        <v>34.9889533479097</v>
      </c>
      <c r="I148">
        <v>36.533333333333303</v>
      </c>
      <c r="J148" s="4">
        <f t="shared" ref="J148:J211" si="14">I148-F148</f>
        <v>1.5443799854236033</v>
      </c>
      <c r="K148">
        <v>300000</v>
      </c>
      <c r="L148">
        <v>20000</v>
      </c>
      <c r="M148">
        <f t="shared" si="10"/>
        <v>-719779.06695819402</v>
      </c>
      <c r="N148">
        <f t="shared" si="11"/>
        <v>0</v>
      </c>
      <c r="O148">
        <f t="shared" si="12"/>
        <v>-719779.06695819402</v>
      </c>
    </row>
    <row r="149" spans="1:15" x14ac:dyDescent="0.3">
      <c r="A149">
        <v>131</v>
      </c>
      <c r="B149" s="4">
        <v>34.988301961284002</v>
      </c>
      <c r="C149" s="4">
        <v>35.011701949854803</v>
      </c>
      <c r="D149" s="2">
        <f>D148+1</f>
        <v>46260</v>
      </c>
      <c r="F149" s="4">
        <f t="shared" si="13"/>
        <v>34.988301961284002</v>
      </c>
      <c r="I149">
        <v>36.6666666666666</v>
      </c>
      <c r="J149" s="4">
        <f t="shared" si="14"/>
        <v>1.6783647053825987</v>
      </c>
      <c r="K149">
        <v>320000</v>
      </c>
      <c r="L149">
        <v>20000</v>
      </c>
      <c r="M149">
        <f t="shared" si="10"/>
        <v>-719766.03922568006</v>
      </c>
      <c r="N149">
        <f t="shared" si="11"/>
        <v>0</v>
      </c>
      <c r="O149">
        <f t="shared" si="12"/>
        <v>-719766.03922568006</v>
      </c>
    </row>
    <row r="150" spans="1:15" x14ac:dyDescent="0.3">
      <c r="A150">
        <v>132</v>
      </c>
      <c r="B150" s="4">
        <v>34.985852440242802</v>
      </c>
      <c r="C150" s="4">
        <v>35.0141532807395</v>
      </c>
      <c r="D150" s="2">
        <f>D149+1</f>
        <v>46261</v>
      </c>
      <c r="F150" s="4">
        <f t="shared" si="13"/>
        <v>34.985852440242802</v>
      </c>
      <c r="I150">
        <v>36.8055555555555</v>
      </c>
      <c r="J150" s="4">
        <f t="shared" si="14"/>
        <v>1.8197031153126986</v>
      </c>
      <c r="K150">
        <v>340000</v>
      </c>
      <c r="L150">
        <v>20000</v>
      </c>
      <c r="M150">
        <f t="shared" si="10"/>
        <v>-719717.04880485602</v>
      </c>
      <c r="N150">
        <f t="shared" si="11"/>
        <v>0</v>
      </c>
      <c r="O150">
        <f t="shared" si="12"/>
        <v>-719717.04880485602</v>
      </c>
    </row>
    <row r="151" spans="1:15" x14ac:dyDescent="0.3">
      <c r="A151">
        <v>133</v>
      </c>
      <c r="B151" s="4">
        <v>34.987089244234497</v>
      </c>
      <c r="C151" s="4">
        <v>35.012915520026098</v>
      </c>
      <c r="D151" s="2">
        <f>D150+1</f>
        <v>46262</v>
      </c>
      <c r="F151" s="4">
        <f t="shared" si="13"/>
        <v>34.987089244234497</v>
      </c>
      <c r="I151">
        <v>36.950000000000003</v>
      </c>
      <c r="J151" s="4">
        <f t="shared" si="14"/>
        <v>1.9629107557655061</v>
      </c>
      <c r="K151">
        <v>360000</v>
      </c>
      <c r="L151">
        <v>20000</v>
      </c>
      <c r="M151">
        <f t="shared" si="10"/>
        <v>-719741.78488468996</v>
      </c>
      <c r="N151">
        <f t="shared" si="11"/>
        <v>0</v>
      </c>
      <c r="O151">
        <f t="shared" si="12"/>
        <v>-719741.78488468996</v>
      </c>
    </row>
    <row r="152" spans="1:15" x14ac:dyDescent="0.3">
      <c r="A152">
        <v>134</v>
      </c>
      <c r="B152" s="4">
        <v>34.986754027458701</v>
      </c>
      <c r="C152" s="4">
        <v>35.013250987461603</v>
      </c>
      <c r="D152" s="2">
        <f>D151+1</f>
        <v>46263</v>
      </c>
      <c r="F152" s="4">
        <f t="shared" si="13"/>
        <v>34.986754027458701</v>
      </c>
      <c r="I152">
        <v>37.1</v>
      </c>
      <c r="J152" s="4">
        <f t="shared" si="14"/>
        <v>2.1132459725413</v>
      </c>
      <c r="K152">
        <v>380000</v>
      </c>
      <c r="L152">
        <v>20000</v>
      </c>
      <c r="M152">
        <f t="shared" si="10"/>
        <v>-719735.08054917399</v>
      </c>
      <c r="N152">
        <f t="shared" si="11"/>
        <v>0</v>
      </c>
      <c r="O152">
        <f t="shared" si="12"/>
        <v>-719735.08054917399</v>
      </c>
    </row>
    <row r="153" spans="1:15" x14ac:dyDescent="0.3">
      <c r="A153">
        <v>135</v>
      </c>
      <c r="B153" s="4">
        <v>34.984141247619696</v>
      </c>
      <c r="C153" s="4">
        <v>35.0158659413527</v>
      </c>
      <c r="D153" s="2">
        <f>D152+1</f>
        <v>46264</v>
      </c>
      <c r="F153" s="4">
        <f t="shared" si="13"/>
        <v>34.984141247619696</v>
      </c>
      <c r="I153">
        <v>37.255555555555503</v>
      </c>
      <c r="J153" s="4">
        <f t="shared" si="14"/>
        <v>2.2714143079358067</v>
      </c>
      <c r="K153">
        <v>400000</v>
      </c>
      <c r="L153">
        <v>20000</v>
      </c>
      <c r="M153">
        <f t="shared" si="10"/>
        <v>-719682.82495239389</v>
      </c>
      <c r="N153">
        <f t="shared" si="11"/>
        <v>0</v>
      </c>
      <c r="O153">
        <f t="shared" si="12"/>
        <v>-719682.82495239389</v>
      </c>
    </row>
    <row r="154" spans="1:15" x14ac:dyDescent="0.3">
      <c r="A154">
        <v>136</v>
      </c>
      <c r="B154" s="4">
        <v>34.982373906528501</v>
      </c>
      <c r="C154" s="4">
        <v>35.017634974491699</v>
      </c>
      <c r="D154" s="2">
        <f>D153+1</f>
        <v>46265</v>
      </c>
      <c r="F154" s="4">
        <f t="shared" si="13"/>
        <v>34.982373906528501</v>
      </c>
      <c r="I154">
        <v>37.4166666666666</v>
      </c>
      <c r="J154" s="4">
        <f t="shared" si="14"/>
        <v>2.4342927601380993</v>
      </c>
      <c r="K154">
        <v>420000</v>
      </c>
      <c r="L154">
        <v>20000</v>
      </c>
      <c r="M154">
        <f t="shared" si="10"/>
        <v>-719647.47813057003</v>
      </c>
      <c r="N154">
        <f t="shared" si="11"/>
        <v>0</v>
      </c>
      <c r="O154">
        <f t="shared" si="12"/>
        <v>-719647.47813057003</v>
      </c>
    </row>
    <row r="155" spans="1:15" x14ac:dyDescent="0.3">
      <c r="A155">
        <v>137</v>
      </c>
      <c r="B155" s="4">
        <v>34.983042439085096</v>
      </c>
      <c r="C155" s="4">
        <v>35.0169657808651</v>
      </c>
      <c r="D155" s="2">
        <f>D154+1</f>
        <v>46266</v>
      </c>
      <c r="F155" s="4">
        <f t="shared" si="13"/>
        <v>34.983042439085096</v>
      </c>
      <c r="I155">
        <v>37.5833333333333</v>
      </c>
      <c r="J155" s="4">
        <f t="shared" si="14"/>
        <v>2.6002908942482037</v>
      </c>
      <c r="K155">
        <v>440000</v>
      </c>
      <c r="L155">
        <v>20000</v>
      </c>
      <c r="M155">
        <f t="shared" si="10"/>
        <v>-719660.84878170188</v>
      </c>
      <c r="N155">
        <f t="shared" si="11"/>
        <v>0</v>
      </c>
      <c r="O155">
        <f t="shared" si="12"/>
        <v>-719660.84878170188</v>
      </c>
    </row>
    <row r="156" spans="1:15" x14ac:dyDescent="0.3">
      <c r="A156">
        <v>138</v>
      </c>
      <c r="B156" s="4">
        <v>34.985572606045402</v>
      </c>
      <c r="C156" s="4">
        <v>35.016250065063197</v>
      </c>
      <c r="D156" s="2">
        <f>D155+1</f>
        <v>46267</v>
      </c>
      <c r="F156" s="4">
        <f t="shared" si="13"/>
        <v>34.985572606045402</v>
      </c>
      <c r="I156">
        <v>37.744444444444397</v>
      </c>
      <c r="J156" s="4">
        <f t="shared" si="14"/>
        <v>2.7588718383989956</v>
      </c>
      <c r="K156">
        <v>460000</v>
      </c>
      <c r="L156">
        <v>20000</v>
      </c>
      <c r="M156">
        <f t="shared" si="10"/>
        <v>-719711.45212090807</v>
      </c>
      <c r="N156">
        <f t="shared" si="11"/>
        <v>0</v>
      </c>
      <c r="O156">
        <f t="shared" si="12"/>
        <v>-719711.45212090807</v>
      </c>
    </row>
    <row r="157" spans="1:15" x14ac:dyDescent="0.3">
      <c r="A157">
        <v>139</v>
      </c>
      <c r="B157" s="4">
        <v>34.991107932061801</v>
      </c>
      <c r="C157" s="4">
        <v>35.014325402917699</v>
      </c>
      <c r="D157" s="2">
        <f>D156+1</f>
        <v>46268</v>
      </c>
      <c r="F157" s="4">
        <f t="shared" si="13"/>
        <v>34.991107932061801</v>
      </c>
      <c r="I157">
        <v>37.9</v>
      </c>
      <c r="J157" s="4">
        <f t="shared" si="14"/>
        <v>2.9088920679381971</v>
      </c>
      <c r="K157">
        <v>480000</v>
      </c>
      <c r="L157">
        <v>20000</v>
      </c>
      <c r="M157">
        <f t="shared" si="10"/>
        <v>-719822.15864123602</v>
      </c>
      <c r="N157">
        <f t="shared" si="11"/>
        <v>0</v>
      </c>
      <c r="O157">
        <f t="shared" si="12"/>
        <v>-719822.15864123602</v>
      </c>
    </row>
    <row r="158" spans="1:15" x14ac:dyDescent="0.3">
      <c r="A158">
        <v>140</v>
      </c>
      <c r="B158" s="4">
        <v>34.999188169567198</v>
      </c>
      <c r="C158" s="4">
        <v>35.011635499530698</v>
      </c>
      <c r="D158" s="2">
        <f>D157+1</f>
        <v>46269</v>
      </c>
      <c r="F158" s="4">
        <f t="shared" si="13"/>
        <v>34.999188169567198</v>
      </c>
      <c r="I158">
        <v>38.049999999999997</v>
      </c>
      <c r="J158" s="4">
        <f t="shared" si="14"/>
        <v>3.0508118304327994</v>
      </c>
      <c r="K158">
        <v>500000</v>
      </c>
      <c r="L158">
        <v>20000</v>
      </c>
      <c r="M158">
        <f t="shared" si="10"/>
        <v>-719983.76339134399</v>
      </c>
      <c r="N158">
        <f t="shared" si="11"/>
        <v>0</v>
      </c>
      <c r="O158">
        <f t="shared" si="12"/>
        <v>-719983.76339134399</v>
      </c>
    </row>
    <row r="159" spans="1:15" x14ac:dyDescent="0.3">
      <c r="A159">
        <v>141</v>
      </c>
      <c r="B159" s="4">
        <v>35.003555886609803</v>
      </c>
      <c r="C159" s="4">
        <v>35.0144224045968</v>
      </c>
      <c r="D159" s="2">
        <f>D158+1</f>
        <v>46270</v>
      </c>
      <c r="F159" s="4">
        <f t="shared" si="13"/>
        <v>35.003555886609803</v>
      </c>
      <c r="I159">
        <v>38.1944444444444</v>
      </c>
      <c r="J159" s="4">
        <f t="shared" si="14"/>
        <v>3.1908885578345973</v>
      </c>
      <c r="K159">
        <v>520000</v>
      </c>
      <c r="L159">
        <v>20000</v>
      </c>
      <c r="M159">
        <f t="shared" si="10"/>
        <v>-720071.11773219611</v>
      </c>
      <c r="N159">
        <f t="shared" si="11"/>
        <v>0</v>
      </c>
      <c r="O159">
        <f t="shared" si="12"/>
        <v>-720071.11773219611</v>
      </c>
    </row>
    <row r="160" spans="1:15" x14ac:dyDescent="0.3">
      <c r="A160">
        <v>142</v>
      </c>
      <c r="B160" s="4">
        <v>35.006226881287297</v>
      </c>
      <c r="C160" s="4">
        <v>35.020651315521697</v>
      </c>
      <c r="D160" s="2">
        <f>D159+1</f>
        <v>46271</v>
      </c>
      <c r="F160" s="4">
        <f t="shared" si="13"/>
        <v>35.006226881287297</v>
      </c>
      <c r="I160">
        <v>38.3333333333333</v>
      </c>
      <c r="J160" s="4">
        <f t="shared" si="14"/>
        <v>3.327106452046003</v>
      </c>
      <c r="K160">
        <v>540000</v>
      </c>
      <c r="L160">
        <v>20000</v>
      </c>
      <c r="M160">
        <f t="shared" si="10"/>
        <v>-720124.53762574599</v>
      </c>
      <c r="N160">
        <f t="shared" si="11"/>
        <v>0</v>
      </c>
      <c r="O160">
        <f t="shared" si="12"/>
        <v>-720124.53762574599</v>
      </c>
    </row>
    <row r="161" spans="1:15" x14ac:dyDescent="0.3">
      <c r="A161">
        <v>143</v>
      </c>
      <c r="B161" s="4">
        <v>35.007683480380798</v>
      </c>
      <c r="C161" s="4">
        <v>35.029823239069501</v>
      </c>
      <c r="D161" s="2">
        <f>D160+1</f>
        <v>46272</v>
      </c>
      <c r="F161" s="4">
        <f t="shared" si="13"/>
        <v>35.007683480380798</v>
      </c>
      <c r="I161">
        <v>38.466666666666598</v>
      </c>
      <c r="J161" s="4">
        <f t="shared" si="14"/>
        <v>3.4589831862857991</v>
      </c>
      <c r="K161">
        <v>560000</v>
      </c>
      <c r="L161">
        <v>20000</v>
      </c>
      <c r="M161">
        <f t="shared" si="10"/>
        <v>-720153.66960761591</v>
      </c>
      <c r="N161">
        <f t="shared" si="11"/>
        <v>0</v>
      </c>
      <c r="O161">
        <f t="shared" si="12"/>
        <v>-720153.66960761591</v>
      </c>
    </row>
    <row r="162" spans="1:15" x14ac:dyDescent="0.3">
      <c r="A162">
        <v>144</v>
      </c>
      <c r="B162" s="4">
        <v>35.014399562729601</v>
      </c>
      <c r="C162" s="4">
        <v>35.035443732425001</v>
      </c>
      <c r="D162" s="2">
        <f>D161+1</f>
        <v>46273</v>
      </c>
      <c r="F162" s="4">
        <f t="shared" si="13"/>
        <v>35.014399562729601</v>
      </c>
      <c r="I162">
        <v>38.594444444444399</v>
      </c>
      <c r="J162" s="4">
        <f t="shared" si="14"/>
        <v>3.5800448817147981</v>
      </c>
      <c r="K162">
        <v>580000</v>
      </c>
      <c r="L162">
        <v>20000</v>
      </c>
      <c r="M162">
        <f t="shared" si="10"/>
        <v>-720287.99125459197</v>
      </c>
      <c r="N162">
        <f t="shared" si="11"/>
        <v>0</v>
      </c>
      <c r="O162">
        <f t="shared" si="12"/>
        <v>-720287.99125459197</v>
      </c>
    </row>
    <row r="163" spans="1:15" x14ac:dyDescent="0.3">
      <c r="A163">
        <v>145</v>
      </c>
      <c r="B163" s="4">
        <v>35.0199846925602</v>
      </c>
      <c r="C163" s="4">
        <v>35.043890283827501</v>
      </c>
      <c r="D163" s="2">
        <f>D162+1</f>
        <v>46274</v>
      </c>
      <c r="F163" s="4">
        <f t="shared" si="13"/>
        <v>35.0199846925602</v>
      </c>
      <c r="I163">
        <v>38.716666666666598</v>
      </c>
      <c r="J163" s="4">
        <f t="shared" si="14"/>
        <v>3.6966819741063972</v>
      </c>
      <c r="K163">
        <v>600000</v>
      </c>
      <c r="L163">
        <v>20000</v>
      </c>
      <c r="M163">
        <f t="shared" si="10"/>
        <v>-720399.69385120401</v>
      </c>
      <c r="N163">
        <f t="shared" si="11"/>
        <v>0</v>
      </c>
      <c r="O163">
        <f t="shared" si="12"/>
        <v>-720399.69385120401</v>
      </c>
    </row>
    <row r="164" spans="1:15" x14ac:dyDescent="0.3">
      <c r="A164">
        <v>146</v>
      </c>
      <c r="B164" s="4">
        <v>35.027142259900401</v>
      </c>
      <c r="C164" s="4">
        <v>35.0524415431439</v>
      </c>
      <c r="D164" s="2">
        <f>D163+1</f>
        <v>46275</v>
      </c>
      <c r="F164" s="4">
        <f t="shared" si="13"/>
        <v>35.027142259900401</v>
      </c>
      <c r="I164">
        <v>38.8333333333333</v>
      </c>
      <c r="J164" s="4">
        <f t="shared" si="14"/>
        <v>3.806191073432899</v>
      </c>
      <c r="K164">
        <v>620000</v>
      </c>
      <c r="L164">
        <v>20000</v>
      </c>
      <c r="M164">
        <f t="shared" si="10"/>
        <v>-720542.845198008</v>
      </c>
      <c r="N164">
        <f t="shared" si="11"/>
        <v>0</v>
      </c>
      <c r="O164">
        <f t="shared" si="12"/>
        <v>-720542.845198008</v>
      </c>
    </row>
    <row r="165" spans="1:15" x14ac:dyDescent="0.3">
      <c r="A165">
        <v>147</v>
      </c>
      <c r="B165" s="4">
        <v>35.034774114996097</v>
      </c>
      <c r="C165" s="4">
        <v>35.062180389652703</v>
      </c>
      <c r="D165" s="2">
        <f>D164+1</f>
        <v>46276</v>
      </c>
      <c r="F165" s="4">
        <f t="shared" si="13"/>
        <v>35.034774114996097</v>
      </c>
      <c r="I165">
        <v>38.9444444444444</v>
      </c>
      <c r="J165" s="4">
        <f t="shared" si="14"/>
        <v>3.9096703294483035</v>
      </c>
      <c r="K165">
        <v>640000</v>
      </c>
      <c r="L165">
        <v>20000</v>
      </c>
      <c r="M165">
        <f t="shared" si="10"/>
        <v>-720695.48229992192</v>
      </c>
      <c r="N165">
        <f t="shared" si="11"/>
        <v>0</v>
      </c>
      <c r="O165">
        <f t="shared" si="12"/>
        <v>-720695.48229992192</v>
      </c>
    </row>
    <row r="166" spans="1:15" x14ac:dyDescent="0.3">
      <c r="A166">
        <v>148</v>
      </c>
      <c r="B166" s="4">
        <v>35.0440956342782</v>
      </c>
      <c r="C166" s="4">
        <v>35.0718747646008</v>
      </c>
      <c r="D166" s="2">
        <f>D165+1</f>
        <v>46277</v>
      </c>
      <c r="F166" s="4">
        <f t="shared" si="13"/>
        <v>35.0440956342782</v>
      </c>
      <c r="I166">
        <v>39.049999999999997</v>
      </c>
      <c r="J166" s="4">
        <f t="shared" si="14"/>
        <v>4.005904365721797</v>
      </c>
      <c r="K166">
        <v>660000</v>
      </c>
      <c r="L166">
        <v>20000</v>
      </c>
      <c r="M166">
        <f t="shared" si="10"/>
        <v>-720881.91268556402</v>
      </c>
      <c r="N166">
        <f t="shared" si="11"/>
        <v>0</v>
      </c>
      <c r="O166">
        <f t="shared" si="12"/>
        <v>-720881.91268556402</v>
      </c>
    </row>
    <row r="167" spans="1:15" x14ac:dyDescent="0.3">
      <c r="A167">
        <v>149</v>
      </c>
      <c r="B167" s="4">
        <v>35.056440385319497</v>
      </c>
      <c r="C167" s="4">
        <v>35.080174642277399</v>
      </c>
      <c r="D167" s="2">
        <f>D166+1</f>
        <v>46278</v>
      </c>
      <c r="F167" s="4">
        <f t="shared" si="13"/>
        <v>35.056440385319497</v>
      </c>
      <c r="I167">
        <v>39.15</v>
      </c>
      <c r="J167" s="4">
        <f t="shared" si="14"/>
        <v>4.0935596146805011</v>
      </c>
      <c r="K167">
        <v>680000</v>
      </c>
      <c r="L167">
        <v>20000</v>
      </c>
      <c r="M167">
        <f t="shared" si="10"/>
        <v>-721128.80770638993</v>
      </c>
      <c r="N167">
        <f t="shared" si="11"/>
        <v>0</v>
      </c>
      <c r="O167">
        <f t="shared" si="12"/>
        <v>-721128.80770638993</v>
      </c>
    </row>
    <row r="168" spans="1:15" x14ac:dyDescent="0.3">
      <c r="A168">
        <v>150</v>
      </c>
      <c r="B168" s="4">
        <v>35.067919437075901</v>
      </c>
      <c r="C168" s="4">
        <v>35.090956624987101</v>
      </c>
      <c r="D168" s="2">
        <f>D167+1</f>
        <v>46279</v>
      </c>
      <c r="F168" s="4">
        <f t="shared" si="13"/>
        <v>35.067919437075901</v>
      </c>
      <c r="I168">
        <v>39.244444444444397</v>
      </c>
      <c r="J168" s="4">
        <f t="shared" si="14"/>
        <v>4.1765250073684967</v>
      </c>
      <c r="K168">
        <v>700000</v>
      </c>
      <c r="L168">
        <v>20000</v>
      </c>
      <c r="M168">
        <f t="shared" si="10"/>
        <v>-721358.38874151802</v>
      </c>
      <c r="N168">
        <f t="shared" si="11"/>
        <v>0</v>
      </c>
      <c r="O168">
        <f t="shared" si="12"/>
        <v>-721358.38874151802</v>
      </c>
    </row>
    <row r="169" spans="1:15" x14ac:dyDescent="0.3">
      <c r="A169">
        <v>151</v>
      </c>
      <c r="B169" s="4">
        <v>35.0796187661809</v>
      </c>
      <c r="C169" s="4">
        <v>35.1031189057963</v>
      </c>
      <c r="D169" s="2">
        <f>D168+1</f>
        <v>46280</v>
      </c>
      <c r="F169" s="4">
        <f t="shared" si="13"/>
        <v>35.0796187661809</v>
      </c>
      <c r="I169">
        <v>39.3333333333333</v>
      </c>
      <c r="J169" s="4">
        <f t="shared" si="14"/>
        <v>4.2537145671524002</v>
      </c>
      <c r="K169">
        <v>720000</v>
      </c>
      <c r="L169">
        <v>20000</v>
      </c>
      <c r="M169">
        <f t="shared" si="10"/>
        <v>-721592.37532361795</v>
      </c>
      <c r="N169">
        <f t="shared" si="11"/>
        <v>0</v>
      </c>
      <c r="O169">
        <f t="shared" si="12"/>
        <v>-721592.37532361795</v>
      </c>
    </row>
    <row r="170" spans="1:15" x14ac:dyDescent="0.3">
      <c r="A170">
        <v>152</v>
      </c>
      <c r="B170" s="4">
        <v>35.090505725204203</v>
      </c>
      <c r="C170" s="4">
        <v>35.117680202606003</v>
      </c>
      <c r="D170" s="2">
        <f>D169+1</f>
        <v>46281</v>
      </c>
      <c r="F170" s="4">
        <f t="shared" si="13"/>
        <v>35.090505725204203</v>
      </c>
      <c r="I170">
        <v>39.4166666666666</v>
      </c>
      <c r="J170" s="4">
        <f t="shared" si="14"/>
        <v>4.3261609414623976</v>
      </c>
      <c r="K170">
        <v>740000</v>
      </c>
      <c r="L170">
        <v>20000</v>
      </c>
      <c r="M170">
        <f t="shared" si="10"/>
        <v>-721810.11450408411</v>
      </c>
      <c r="N170">
        <f t="shared" si="11"/>
        <v>0</v>
      </c>
      <c r="O170">
        <f t="shared" si="12"/>
        <v>-721810.11450408411</v>
      </c>
    </row>
    <row r="171" spans="1:15" x14ac:dyDescent="0.3">
      <c r="A171">
        <v>153</v>
      </c>
      <c r="B171" s="4">
        <v>35.101016133213697</v>
      </c>
      <c r="C171" s="4">
        <v>35.134190300381398</v>
      </c>
      <c r="D171" s="2">
        <f>D170+1</f>
        <v>46282</v>
      </c>
      <c r="F171" s="4">
        <f t="shared" si="13"/>
        <v>35.101016133213697</v>
      </c>
      <c r="I171">
        <v>39.494444444444397</v>
      </c>
      <c r="J171" s="4">
        <f t="shared" si="14"/>
        <v>4.3934283112307</v>
      </c>
      <c r="K171">
        <v>760000</v>
      </c>
      <c r="L171">
        <v>20000</v>
      </c>
      <c r="M171">
        <f t="shared" si="10"/>
        <v>-722020.3226642739</v>
      </c>
      <c r="N171">
        <f t="shared" si="11"/>
        <v>0</v>
      </c>
      <c r="O171">
        <f t="shared" si="12"/>
        <v>-722020.3226642739</v>
      </c>
    </row>
    <row r="172" spans="1:15" x14ac:dyDescent="0.3">
      <c r="A172">
        <v>154</v>
      </c>
      <c r="B172" s="4">
        <v>35.114496216791203</v>
      </c>
      <c r="C172" s="4">
        <v>35.149285686191099</v>
      </c>
      <c r="D172" s="2">
        <f>D171+1</f>
        <v>46283</v>
      </c>
      <c r="F172" s="4">
        <f t="shared" si="13"/>
        <v>35.114496216791203</v>
      </c>
      <c r="I172">
        <v>39.566666666666599</v>
      </c>
      <c r="J172" s="4">
        <f t="shared" si="14"/>
        <v>4.4521704498753962</v>
      </c>
      <c r="K172">
        <v>780000</v>
      </c>
      <c r="L172">
        <v>20000</v>
      </c>
      <c r="M172">
        <f t="shared" si="10"/>
        <v>-722289.92433582409</v>
      </c>
      <c r="N172">
        <f t="shared" si="11"/>
        <v>0</v>
      </c>
      <c r="O172">
        <f t="shared" si="12"/>
        <v>-722289.92433582409</v>
      </c>
    </row>
    <row r="173" spans="1:15" x14ac:dyDescent="0.3">
      <c r="A173">
        <v>155</v>
      </c>
      <c r="B173" s="4">
        <v>35.129543878093003</v>
      </c>
      <c r="C173" s="4">
        <v>35.164355478627499</v>
      </c>
      <c r="D173" s="2">
        <f>D172+1</f>
        <v>46284</v>
      </c>
      <c r="F173" s="4">
        <f t="shared" si="13"/>
        <v>35.129543878093003</v>
      </c>
      <c r="I173">
        <v>39.633333333333297</v>
      </c>
      <c r="J173" s="4">
        <f t="shared" si="14"/>
        <v>4.5037894552402946</v>
      </c>
      <c r="K173">
        <v>800000</v>
      </c>
      <c r="L173">
        <v>20000</v>
      </c>
      <c r="M173">
        <f t="shared" si="10"/>
        <v>-722590.87756186002</v>
      </c>
      <c r="N173">
        <f t="shared" si="11"/>
        <v>0</v>
      </c>
      <c r="O173">
        <f t="shared" si="12"/>
        <v>-722590.87756186002</v>
      </c>
    </row>
    <row r="174" spans="1:15" x14ac:dyDescent="0.3">
      <c r="A174">
        <v>156</v>
      </c>
      <c r="B174" s="4">
        <v>35.148696733856902</v>
      </c>
      <c r="C174" s="4">
        <v>35.176846059408803</v>
      </c>
      <c r="D174" s="2">
        <f>D173+1</f>
        <v>46285</v>
      </c>
      <c r="F174" s="4">
        <f t="shared" si="13"/>
        <v>35.148696733856902</v>
      </c>
      <c r="I174">
        <v>39.6944444444444</v>
      </c>
      <c r="J174" s="4">
        <f t="shared" si="14"/>
        <v>4.5457477105874986</v>
      </c>
      <c r="K174">
        <v>820000</v>
      </c>
      <c r="L174">
        <v>20000</v>
      </c>
      <c r="M174">
        <f t="shared" si="10"/>
        <v>-722973.93467713799</v>
      </c>
      <c r="N174">
        <f t="shared" si="11"/>
        <v>0</v>
      </c>
      <c r="O174">
        <f t="shared" si="12"/>
        <v>-722973.93467713799</v>
      </c>
    </row>
    <row r="175" spans="1:15" x14ac:dyDescent="0.3">
      <c r="A175">
        <v>157</v>
      </c>
      <c r="B175" s="4">
        <v>35.165586935476</v>
      </c>
      <c r="C175" s="4">
        <v>35.193117452954397</v>
      </c>
      <c r="D175" s="2">
        <f>D174+1</f>
        <v>46286</v>
      </c>
      <c r="F175" s="4">
        <f t="shared" si="13"/>
        <v>35.165586935476</v>
      </c>
      <c r="I175">
        <v>39.75</v>
      </c>
      <c r="J175" s="4">
        <f t="shared" si="14"/>
        <v>4.584413064524</v>
      </c>
      <c r="K175">
        <v>840000</v>
      </c>
      <c r="L175">
        <v>20000</v>
      </c>
      <c r="M175">
        <f t="shared" si="10"/>
        <v>-723311.73870951997</v>
      </c>
      <c r="N175">
        <f t="shared" si="11"/>
        <v>0</v>
      </c>
      <c r="O175">
        <f t="shared" si="12"/>
        <v>-723311.73870951997</v>
      </c>
    </row>
    <row r="176" spans="1:15" x14ac:dyDescent="0.3">
      <c r="A176">
        <v>158</v>
      </c>
      <c r="B176" s="4">
        <v>35.184791553720899</v>
      </c>
      <c r="C176" s="4">
        <v>35.208575390882203</v>
      </c>
      <c r="D176" s="2">
        <f>D175+1</f>
        <v>46287</v>
      </c>
      <c r="F176" s="4">
        <f t="shared" si="13"/>
        <v>35.184791553720899</v>
      </c>
      <c r="I176">
        <v>39.799999999999997</v>
      </c>
      <c r="J176" s="4">
        <f t="shared" si="14"/>
        <v>4.6152084462790981</v>
      </c>
      <c r="K176">
        <v>860000</v>
      </c>
      <c r="L176">
        <v>20000</v>
      </c>
      <c r="M176">
        <f t="shared" si="10"/>
        <v>-723695.83107441803</v>
      </c>
      <c r="N176">
        <f t="shared" si="11"/>
        <v>0</v>
      </c>
      <c r="O176">
        <f t="shared" si="12"/>
        <v>-723695.83107441803</v>
      </c>
    </row>
    <row r="177" spans="1:15" x14ac:dyDescent="0.3">
      <c r="A177">
        <v>159</v>
      </c>
      <c r="B177" s="4">
        <v>35.202009672532398</v>
      </c>
      <c r="C177" s="4">
        <v>35.227510752540503</v>
      </c>
      <c r="D177" s="2">
        <f>D176+1</f>
        <v>46288</v>
      </c>
      <c r="F177" s="4">
        <f t="shared" si="13"/>
        <v>35.202009672532398</v>
      </c>
      <c r="I177">
        <v>39.844444444444399</v>
      </c>
      <c r="J177" s="4">
        <f t="shared" si="14"/>
        <v>4.6424347719120007</v>
      </c>
      <c r="K177">
        <v>880000</v>
      </c>
      <c r="L177">
        <v>20000</v>
      </c>
      <c r="M177">
        <f t="shared" si="10"/>
        <v>-724040.19345064799</v>
      </c>
      <c r="N177">
        <f t="shared" si="11"/>
        <v>0</v>
      </c>
      <c r="O177">
        <f t="shared" si="12"/>
        <v>-724040.19345064799</v>
      </c>
    </row>
    <row r="178" spans="1:15" x14ac:dyDescent="0.3">
      <c r="A178">
        <v>160</v>
      </c>
      <c r="B178" s="4">
        <v>35.218709245278497</v>
      </c>
      <c r="C178" s="4">
        <v>35.248441759571399</v>
      </c>
      <c r="D178" s="2">
        <f>D177+1</f>
        <v>46289</v>
      </c>
      <c r="F178" s="4">
        <f t="shared" si="13"/>
        <v>35.218709245278497</v>
      </c>
      <c r="I178">
        <v>39.883333333333297</v>
      </c>
      <c r="J178" s="4">
        <f t="shared" si="14"/>
        <v>4.6646240880548007</v>
      </c>
      <c r="K178">
        <v>900000</v>
      </c>
      <c r="L178">
        <v>20000</v>
      </c>
      <c r="M178">
        <f t="shared" si="10"/>
        <v>-724374.18490556988</v>
      </c>
      <c r="N178">
        <f t="shared" si="11"/>
        <v>0</v>
      </c>
      <c r="O178">
        <f t="shared" si="12"/>
        <v>-724374.18490556988</v>
      </c>
    </row>
    <row r="179" spans="1:15" x14ac:dyDescent="0.3">
      <c r="A179">
        <v>161</v>
      </c>
      <c r="B179" s="4">
        <v>35.236553716788201</v>
      </c>
      <c r="C179" s="4">
        <v>35.269691058926703</v>
      </c>
      <c r="D179" s="2">
        <f>D178+1</f>
        <v>46290</v>
      </c>
      <c r="F179" s="4">
        <f t="shared" si="13"/>
        <v>35.236553716788201</v>
      </c>
      <c r="I179">
        <v>39.9166666666666</v>
      </c>
      <c r="J179" s="4">
        <f t="shared" si="14"/>
        <v>4.6801129498783993</v>
      </c>
      <c r="K179">
        <v>920000</v>
      </c>
      <c r="L179">
        <v>20000</v>
      </c>
      <c r="M179">
        <f t="shared" si="10"/>
        <v>-724731.07433576405</v>
      </c>
      <c r="N179">
        <f t="shared" si="11"/>
        <v>0</v>
      </c>
      <c r="O179">
        <f t="shared" si="12"/>
        <v>-724731.07433576405</v>
      </c>
    </row>
    <row r="180" spans="1:15" x14ac:dyDescent="0.3">
      <c r="A180">
        <v>162</v>
      </c>
      <c r="B180" s="4">
        <v>35.255572001825797</v>
      </c>
      <c r="C180" s="4">
        <v>35.291217072021098</v>
      </c>
      <c r="D180" s="2">
        <f>D179+1</f>
        <v>46291</v>
      </c>
      <c r="F180" s="4">
        <f t="shared" si="13"/>
        <v>35.255572001825797</v>
      </c>
      <c r="I180">
        <v>39.9444444444444</v>
      </c>
      <c r="J180" s="4">
        <f t="shared" si="14"/>
        <v>4.688872442618603</v>
      </c>
      <c r="K180">
        <v>940000</v>
      </c>
      <c r="L180">
        <v>20000</v>
      </c>
      <c r="M180">
        <f t="shared" si="10"/>
        <v>-725111.44003651594</v>
      </c>
      <c r="N180">
        <f t="shared" si="11"/>
        <v>0</v>
      </c>
      <c r="O180">
        <f t="shared" si="12"/>
        <v>-725111.44003651594</v>
      </c>
    </row>
    <row r="181" spans="1:15" x14ac:dyDescent="0.3">
      <c r="A181">
        <v>163</v>
      </c>
      <c r="B181" s="4">
        <v>35.280567811375498</v>
      </c>
      <c r="C181" s="4">
        <v>35.3081992578119</v>
      </c>
      <c r="D181" s="2">
        <f>D180+1</f>
        <v>46292</v>
      </c>
      <c r="F181" s="4">
        <f t="shared" si="13"/>
        <v>35.280567811375498</v>
      </c>
      <c r="I181">
        <v>39.966666666666598</v>
      </c>
      <c r="J181" s="4">
        <f t="shared" si="14"/>
        <v>4.6860988552910996</v>
      </c>
      <c r="K181">
        <v>960000</v>
      </c>
      <c r="L181">
        <v>20000</v>
      </c>
      <c r="M181">
        <f t="shared" si="10"/>
        <v>-725611.35622750991</v>
      </c>
      <c r="N181">
        <f t="shared" si="11"/>
        <v>0</v>
      </c>
      <c r="O181">
        <f t="shared" si="12"/>
        <v>-725611.35622750991</v>
      </c>
    </row>
    <row r="182" spans="1:15" x14ac:dyDescent="0.3">
      <c r="A182">
        <v>164</v>
      </c>
      <c r="B182" s="4">
        <v>35.300825702329298</v>
      </c>
      <c r="C182" s="4">
        <v>35.331350541314897</v>
      </c>
      <c r="D182" s="2">
        <f>D181+1</f>
        <v>46293</v>
      </c>
      <c r="F182" s="4">
        <f t="shared" si="13"/>
        <v>35.300825702329298</v>
      </c>
      <c r="I182">
        <v>39.983333333333299</v>
      </c>
      <c r="J182" s="4">
        <f t="shared" si="14"/>
        <v>4.6825076310040004</v>
      </c>
      <c r="K182">
        <v>980000</v>
      </c>
      <c r="L182">
        <v>20000</v>
      </c>
      <c r="M182">
        <f t="shared" si="10"/>
        <v>-726016.514046586</v>
      </c>
      <c r="N182">
        <f t="shared" si="11"/>
        <v>0</v>
      </c>
      <c r="O182">
        <f t="shared" si="12"/>
        <v>-726016.514046586</v>
      </c>
    </row>
    <row r="183" spans="1:15" x14ac:dyDescent="0.3">
      <c r="A183">
        <v>165</v>
      </c>
      <c r="B183" s="4">
        <v>35.324856164130502</v>
      </c>
      <c r="C183" s="4">
        <v>35.352141202422501</v>
      </c>
      <c r="D183" s="2">
        <f>D182+1</f>
        <v>46294</v>
      </c>
      <c r="F183" s="4">
        <f t="shared" si="13"/>
        <v>35.324856164130502</v>
      </c>
      <c r="I183">
        <v>39.994444444444397</v>
      </c>
      <c r="J183" s="4">
        <f t="shared" si="14"/>
        <v>4.6695882803138957</v>
      </c>
      <c r="K183">
        <v>1000000</v>
      </c>
      <c r="L183">
        <v>20000</v>
      </c>
      <c r="M183">
        <f t="shared" si="10"/>
        <v>-726497.12328261009</v>
      </c>
      <c r="N183">
        <f t="shared" si="11"/>
        <v>0</v>
      </c>
      <c r="O183">
        <f t="shared" si="12"/>
        <v>-726497.12328261009</v>
      </c>
    </row>
    <row r="184" spans="1:15" x14ac:dyDescent="0.3">
      <c r="A184">
        <v>166</v>
      </c>
      <c r="B184" s="4">
        <v>35.3463689251506</v>
      </c>
      <c r="C184" s="4">
        <v>35.376854919897603</v>
      </c>
      <c r="D184" s="2">
        <f>D183+1</f>
        <v>46295</v>
      </c>
      <c r="F184" s="4">
        <f t="shared" si="13"/>
        <v>35.3463689251506</v>
      </c>
      <c r="I184">
        <v>40</v>
      </c>
      <c r="J184" s="4">
        <f t="shared" si="14"/>
        <v>4.6536310748494003</v>
      </c>
      <c r="K184">
        <v>1020000</v>
      </c>
      <c r="L184">
        <v>20000</v>
      </c>
      <c r="M184">
        <f t="shared" si="10"/>
        <v>-726927.37850301201</v>
      </c>
      <c r="N184">
        <f t="shared" si="11"/>
        <v>0</v>
      </c>
      <c r="O184">
        <f t="shared" si="12"/>
        <v>-726927.37850301201</v>
      </c>
    </row>
    <row r="185" spans="1:15" x14ac:dyDescent="0.3">
      <c r="A185">
        <v>167</v>
      </c>
      <c r="B185" s="4">
        <v>35.371969513106897</v>
      </c>
      <c r="C185" s="4">
        <v>35.398869209686502</v>
      </c>
      <c r="D185" s="2">
        <f>D184+1</f>
        <v>46296</v>
      </c>
      <c r="F185" s="4">
        <f t="shared" si="13"/>
        <v>35.371969513106897</v>
      </c>
      <c r="I185">
        <v>40</v>
      </c>
      <c r="J185" s="4">
        <f t="shared" si="14"/>
        <v>4.6280304868931026</v>
      </c>
      <c r="K185">
        <v>1040000</v>
      </c>
      <c r="L185">
        <v>20000</v>
      </c>
      <c r="M185">
        <f t="shared" si="10"/>
        <v>-727439.39026213798</v>
      </c>
      <c r="N185">
        <f t="shared" si="11"/>
        <v>0</v>
      </c>
      <c r="O185">
        <f t="shared" si="12"/>
        <v>-727439.39026213798</v>
      </c>
    </row>
    <row r="186" spans="1:15" x14ac:dyDescent="0.3">
      <c r="A186">
        <v>168</v>
      </c>
      <c r="B186" s="4">
        <v>35.396439045610897</v>
      </c>
      <c r="C186" s="4">
        <v>35.421787214130902</v>
      </c>
      <c r="D186" s="2">
        <f>D185+1</f>
        <v>46297</v>
      </c>
      <c r="F186" s="4">
        <f t="shared" si="13"/>
        <v>35.396439045610897</v>
      </c>
      <c r="I186">
        <v>40</v>
      </c>
      <c r="J186" s="4">
        <f t="shared" si="14"/>
        <v>4.6035609543891027</v>
      </c>
      <c r="K186">
        <v>1060000</v>
      </c>
      <c r="L186">
        <v>20000</v>
      </c>
      <c r="M186">
        <f t="shared" si="10"/>
        <v>-727928.78091221792</v>
      </c>
      <c r="N186">
        <f t="shared" si="11"/>
        <v>0</v>
      </c>
      <c r="O186">
        <f t="shared" si="12"/>
        <v>-727928.78091221792</v>
      </c>
    </row>
    <row r="187" spans="1:15" x14ac:dyDescent="0.3">
      <c r="A187">
        <v>169</v>
      </c>
      <c r="B187" s="4">
        <v>35.419790734607403</v>
      </c>
      <c r="C187" s="4">
        <v>35.445596497525401</v>
      </c>
      <c r="D187" s="2">
        <f>D186+1</f>
        <v>46298</v>
      </c>
      <c r="F187" s="4">
        <f t="shared" si="13"/>
        <v>35.419790734607403</v>
      </c>
      <c r="I187">
        <v>40</v>
      </c>
      <c r="J187" s="4">
        <f t="shared" si="14"/>
        <v>4.5802092653925968</v>
      </c>
      <c r="K187">
        <v>1080000</v>
      </c>
      <c r="L187">
        <v>20000</v>
      </c>
      <c r="M187">
        <f t="shared" si="10"/>
        <v>-728395.81469214801</v>
      </c>
      <c r="N187">
        <f t="shared" si="11"/>
        <v>0</v>
      </c>
      <c r="O187">
        <f t="shared" si="12"/>
        <v>-728395.81469214801</v>
      </c>
    </row>
    <row r="188" spans="1:15" x14ac:dyDescent="0.3">
      <c r="A188">
        <v>170</v>
      </c>
      <c r="B188" s="4">
        <v>35.443244494646798</v>
      </c>
      <c r="C188" s="4">
        <v>35.4690771711659</v>
      </c>
      <c r="D188" s="2">
        <f>D187+1</f>
        <v>46299</v>
      </c>
      <c r="F188" s="4">
        <f t="shared" si="13"/>
        <v>35.443244494646798</v>
      </c>
      <c r="I188">
        <v>40</v>
      </c>
      <c r="J188" s="4">
        <f t="shared" si="14"/>
        <v>4.5567555053532018</v>
      </c>
      <c r="K188">
        <v>1100000</v>
      </c>
      <c r="L188">
        <v>20000</v>
      </c>
      <c r="M188">
        <f t="shared" si="10"/>
        <v>-728864.88989293599</v>
      </c>
      <c r="N188">
        <f t="shared" si="11"/>
        <v>0</v>
      </c>
      <c r="O188">
        <f t="shared" si="12"/>
        <v>-728864.88989293599</v>
      </c>
    </row>
    <row r="189" spans="1:15" x14ac:dyDescent="0.3">
      <c r="A189">
        <v>171</v>
      </c>
      <c r="B189" s="4">
        <v>35.465449224189598</v>
      </c>
      <c r="C189" s="4">
        <v>35.493582274348299</v>
      </c>
      <c r="D189" s="2">
        <f>D188+1</f>
        <v>46300</v>
      </c>
      <c r="F189" s="4">
        <f t="shared" si="13"/>
        <v>35.465449224189598</v>
      </c>
      <c r="I189">
        <v>40</v>
      </c>
      <c r="J189" s="4">
        <f t="shared" si="14"/>
        <v>4.534550775810402</v>
      </c>
      <c r="K189">
        <v>1120000</v>
      </c>
      <c r="L189">
        <v>20000</v>
      </c>
      <c r="M189">
        <f t="shared" si="10"/>
        <v>-729308.98448379198</v>
      </c>
      <c r="N189">
        <f t="shared" si="11"/>
        <v>0</v>
      </c>
      <c r="O189">
        <f t="shared" si="12"/>
        <v>-729308.98448379198</v>
      </c>
    </row>
    <row r="190" spans="1:15" x14ac:dyDescent="0.3">
      <c r="A190">
        <v>172</v>
      </c>
      <c r="B190" s="4">
        <v>35.489585122195002</v>
      </c>
      <c r="C190" s="4">
        <v>35.515930097428999</v>
      </c>
      <c r="D190" s="2">
        <f>D189+1</f>
        <v>46301</v>
      </c>
      <c r="F190" s="4">
        <f t="shared" si="13"/>
        <v>35.489585122195002</v>
      </c>
      <c r="I190">
        <v>40</v>
      </c>
      <c r="J190" s="4">
        <f t="shared" si="14"/>
        <v>4.5104148778049975</v>
      </c>
      <c r="K190">
        <v>1140000</v>
      </c>
      <c r="L190">
        <v>20000</v>
      </c>
      <c r="M190">
        <f t="shared" si="10"/>
        <v>-729791.70244390005</v>
      </c>
      <c r="N190">
        <f t="shared" si="11"/>
        <v>0</v>
      </c>
      <c r="O190">
        <f t="shared" si="12"/>
        <v>-729791.70244390005</v>
      </c>
    </row>
    <row r="191" spans="1:15" x14ac:dyDescent="0.3">
      <c r="A191">
        <v>173</v>
      </c>
      <c r="B191" s="4">
        <v>35.511935755259699</v>
      </c>
      <c r="C191" s="4">
        <v>35.539840830665099</v>
      </c>
      <c r="D191" s="2">
        <f>D190+1</f>
        <v>46302</v>
      </c>
      <c r="F191" s="4">
        <f t="shared" si="13"/>
        <v>35.511935755259699</v>
      </c>
      <c r="I191">
        <v>40</v>
      </c>
      <c r="J191" s="4">
        <f t="shared" si="14"/>
        <v>4.4880642447403005</v>
      </c>
      <c r="K191">
        <v>1160000</v>
      </c>
      <c r="L191">
        <v>20000</v>
      </c>
      <c r="M191">
        <f t="shared" si="10"/>
        <v>-730238.71510519402</v>
      </c>
      <c r="N191">
        <f t="shared" si="11"/>
        <v>0</v>
      </c>
      <c r="O191">
        <f t="shared" si="12"/>
        <v>-730238.71510519402</v>
      </c>
    </row>
    <row r="192" spans="1:15" x14ac:dyDescent="0.3">
      <c r="A192">
        <v>174</v>
      </c>
      <c r="B192" s="4">
        <v>35.532749417314697</v>
      </c>
      <c r="C192" s="4">
        <v>35.565067082724099</v>
      </c>
      <c r="D192" s="2">
        <f>D191+1</f>
        <v>46303</v>
      </c>
      <c r="F192" s="4">
        <f t="shared" si="13"/>
        <v>35.532749417314697</v>
      </c>
      <c r="I192">
        <v>40</v>
      </c>
      <c r="J192" s="4">
        <f t="shared" si="14"/>
        <v>4.4672505826853026</v>
      </c>
      <c r="K192">
        <v>1180000</v>
      </c>
      <c r="L192">
        <v>20000</v>
      </c>
      <c r="M192">
        <f t="shared" si="10"/>
        <v>-730654.98834629392</v>
      </c>
      <c r="N192">
        <f t="shared" si="11"/>
        <v>0</v>
      </c>
      <c r="O192">
        <f t="shared" si="12"/>
        <v>-730654.98834629392</v>
      </c>
    </row>
    <row r="193" spans="1:15" x14ac:dyDescent="0.3">
      <c r="A193">
        <v>175</v>
      </c>
      <c r="B193" s="4">
        <v>35.553364432979897</v>
      </c>
      <c r="C193" s="4">
        <v>35.590270528239401</v>
      </c>
      <c r="D193" s="2">
        <f>D192+1</f>
        <v>46304</v>
      </c>
      <c r="F193" s="4">
        <f t="shared" si="13"/>
        <v>35.553364432979897</v>
      </c>
      <c r="I193">
        <v>40</v>
      </c>
      <c r="J193" s="4">
        <f t="shared" si="14"/>
        <v>4.4466355670201025</v>
      </c>
      <c r="K193">
        <v>1200000</v>
      </c>
      <c r="L193">
        <v>20000</v>
      </c>
      <c r="M193">
        <f t="shared" si="10"/>
        <v>-731067.28865959798</v>
      </c>
      <c r="N193">
        <f t="shared" si="11"/>
        <v>0</v>
      </c>
      <c r="O193">
        <f t="shared" si="12"/>
        <v>-731067.28865959798</v>
      </c>
    </row>
    <row r="194" spans="1:15" x14ac:dyDescent="0.3">
      <c r="A194">
        <v>176</v>
      </c>
      <c r="B194" s="4">
        <v>35.576571450207197</v>
      </c>
      <c r="C194" s="4">
        <v>35.612658411197501</v>
      </c>
      <c r="D194" s="2">
        <f>D193+1</f>
        <v>46305</v>
      </c>
      <c r="F194" s="4">
        <f t="shared" si="13"/>
        <v>35.576571450207197</v>
      </c>
      <c r="I194">
        <v>40</v>
      </c>
      <c r="J194" s="4">
        <f t="shared" si="14"/>
        <v>4.4234285497928028</v>
      </c>
      <c r="K194">
        <v>1220000</v>
      </c>
      <c r="L194">
        <v>20000</v>
      </c>
      <c r="M194">
        <f t="shared" si="10"/>
        <v>-731531.42900414392</v>
      </c>
      <c r="N194">
        <f t="shared" si="11"/>
        <v>0</v>
      </c>
      <c r="O194">
        <f t="shared" si="12"/>
        <v>-731531.42900414392</v>
      </c>
    </row>
    <row r="195" spans="1:15" x14ac:dyDescent="0.3">
      <c r="A195">
        <v>177</v>
      </c>
      <c r="B195" s="4">
        <v>35.602279644906503</v>
      </c>
      <c r="C195" s="4">
        <v>35.632322730135698</v>
      </c>
      <c r="D195" s="2">
        <f>D194+1</f>
        <v>46306</v>
      </c>
      <c r="F195" s="4">
        <f t="shared" si="13"/>
        <v>35.602279644906503</v>
      </c>
      <c r="I195">
        <v>40</v>
      </c>
      <c r="J195" s="4">
        <f t="shared" si="14"/>
        <v>4.3977203550934973</v>
      </c>
      <c r="K195">
        <v>1240000</v>
      </c>
      <c r="L195">
        <v>20000</v>
      </c>
      <c r="M195">
        <f t="shared" si="10"/>
        <v>-732045.59289813007</v>
      </c>
      <c r="N195">
        <f t="shared" si="11"/>
        <v>0</v>
      </c>
      <c r="O195">
        <f t="shared" si="12"/>
        <v>-732045.59289813007</v>
      </c>
    </row>
    <row r="196" spans="1:15" x14ac:dyDescent="0.3">
      <c r="A196">
        <v>178</v>
      </c>
      <c r="B196" s="4">
        <v>35.625227704396401</v>
      </c>
      <c r="C196" s="4">
        <v>35.654530585913903</v>
      </c>
      <c r="D196" s="2">
        <f>D195+1</f>
        <v>46307</v>
      </c>
      <c r="F196" s="4">
        <f t="shared" si="13"/>
        <v>35.625227704396401</v>
      </c>
      <c r="I196">
        <v>40</v>
      </c>
      <c r="J196" s="4">
        <f t="shared" si="14"/>
        <v>4.3747722956035986</v>
      </c>
      <c r="K196">
        <v>1260000</v>
      </c>
      <c r="L196">
        <v>20000</v>
      </c>
      <c r="M196">
        <f t="shared" si="10"/>
        <v>-732504.55408792803</v>
      </c>
      <c r="N196">
        <f t="shared" si="11"/>
        <v>0</v>
      </c>
      <c r="O196">
        <f t="shared" si="12"/>
        <v>-732504.55408792803</v>
      </c>
    </row>
    <row r="197" spans="1:15" x14ac:dyDescent="0.3">
      <c r="A197">
        <v>179</v>
      </c>
      <c r="B197" s="4">
        <v>35.647546825567801</v>
      </c>
      <c r="C197" s="4">
        <v>35.677149616767601</v>
      </c>
      <c r="D197" s="2">
        <f>D196+1</f>
        <v>46308</v>
      </c>
      <c r="F197" s="4">
        <f t="shared" si="13"/>
        <v>35.647546825567801</v>
      </c>
      <c r="I197">
        <v>40</v>
      </c>
      <c r="J197" s="4">
        <f t="shared" si="14"/>
        <v>4.352453174432199</v>
      </c>
      <c r="K197">
        <v>1280000</v>
      </c>
      <c r="L197">
        <v>20000</v>
      </c>
      <c r="M197">
        <f t="shared" si="10"/>
        <v>-732950.93651135603</v>
      </c>
      <c r="N197">
        <f t="shared" si="11"/>
        <v>0</v>
      </c>
      <c r="O197">
        <f t="shared" si="12"/>
        <v>-732950.93651135603</v>
      </c>
    </row>
    <row r="198" spans="1:15" x14ac:dyDescent="0.3">
      <c r="A198">
        <v>180</v>
      </c>
      <c r="B198" s="4">
        <v>35.670510775326903</v>
      </c>
      <c r="C198" s="4">
        <v>35.698905908980201</v>
      </c>
      <c r="D198" s="2">
        <f>D197+1</f>
        <v>46309</v>
      </c>
      <c r="F198" s="4">
        <f t="shared" si="13"/>
        <v>35.670510775326903</v>
      </c>
      <c r="I198">
        <v>40</v>
      </c>
      <c r="J198" s="4">
        <f t="shared" si="14"/>
        <v>4.3294892246730967</v>
      </c>
      <c r="K198">
        <v>1300000</v>
      </c>
      <c r="L198">
        <v>20000</v>
      </c>
      <c r="M198">
        <f t="shared" si="10"/>
        <v>-733410.21550653805</v>
      </c>
      <c r="N198">
        <f t="shared" si="11"/>
        <v>0</v>
      </c>
      <c r="O198">
        <f t="shared" si="12"/>
        <v>-733410.21550653805</v>
      </c>
    </row>
    <row r="199" spans="1:15" x14ac:dyDescent="0.3">
      <c r="A199">
        <v>181</v>
      </c>
      <c r="B199" s="4">
        <v>35.695264160511996</v>
      </c>
      <c r="C199" s="4">
        <v>35.718655044886297</v>
      </c>
      <c r="D199" s="2">
        <f>D198+1</f>
        <v>46310</v>
      </c>
      <c r="F199" s="4">
        <f t="shared" si="13"/>
        <v>35.695264160511996</v>
      </c>
      <c r="I199">
        <v>40</v>
      </c>
      <c r="J199" s="4">
        <f t="shared" si="14"/>
        <v>4.3047358394880035</v>
      </c>
      <c r="K199">
        <v>1320000</v>
      </c>
      <c r="L199">
        <v>20000</v>
      </c>
      <c r="M199">
        <f t="shared" si="10"/>
        <v>-733905.28321023996</v>
      </c>
      <c r="N199">
        <f t="shared" si="11"/>
        <v>0</v>
      </c>
      <c r="O199">
        <f t="shared" si="12"/>
        <v>-733905.28321023996</v>
      </c>
    </row>
    <row r="200" spans="1:15" x14ac:dyDescent="0.3">
      <c r="A200">
        <v>182</v>
      </c>
      <c r="B200" s="4">
        <v>35.717874097553199</v>
      </c>
      <c r="C200" s="4">
        <v>35.740333644167798</v>
      </c>
      <c r="D200" s="2">
        <f>D199+1</f>
        <v>46311</v>
      </c>
      <c r="F200" s="4">
        <f t="shared" si="13"/>
        <v>35.717874097553199</v>
      </c>
      <c r="I200">
        <v>40</v>
      </c>
      <c r="J200" s="4">
        <f t="shared" si="14"/>
        <v>4.2821259024468006</v>
      </c>
      <c r="K200">
        <v>1340000</v>
      </c>
      <c r="L200">
        <v>20000</v>
      </c>
      <c r="M200">
        <f t="shared" si="10"/>
        <v>-734357.48195106396</v>
      </c>
      <c r="N200">
        <f t="shared" si="11"/>
        <v>0</v>
      </c>
      <c r="O200">
        <f t="shared" si="12"/>
        <v>-734357.48195106396</v>
      </c>
    </row>
    <row r="201" spans="1:15" x14ac:dyDescent="0.3">
      <c r="A201">
        <v>183</v>
      </c>
      <c r="B201" s="4">
        <v>35.739199271289401</v>
      </c>
      <c r="C201" s="4">
        <v>35.763083159674103</v>
      </c>
      <c r="D201" s="2">
        <f>D200+1</f>
        <v>46312</v>
      </c>
      <c r="F201" s="4">
        <f t="shared" si="13"/>
        <v>35.739199271289401</v>
      </c>
      <c r="I201">
        <v>40</v>
      </c>
      <c r="J201" s="4">
        <f t="shared" si="14"/>
        <v>4.2608007287105991</v>
      </c>
      <c r="K201">
        <v>1360000</v>
      </c>
      <c r="L201">
        <v>20000</v>
      </c>
      <c r="M201">
        <f t="shared" si="10"/>
        <v>-734783.98542578798</v>
      </c>
      <c r="N201">
        <f t="shared" si="11"/>
        <v>0</v>
      </c>
      <c r="O201">
        <f t="shared" si="12"/>
        <v>-734783.98542578798</v>
      </c>
    </row>
    <row r="202" spans="1:15" x14ac:dyDescent="0.3">
      <c r="A202">
        <v>184</v>
      </c>
      <c r="B202" s="4">
        <v>35.763251910468298</v>
      </c>
      <c r="C202" s="4">
        <v>35.782889740605597</v>
      </c>
      <c r="D202" s="2">
        <f>D201+1</f>
        <v>46313</v>
      </c>
      <c r="F202" s="4">
        <f t="shared" si="13"/>
        <v>35.763251910468298</v>
      </c>
      <c r="I202">
        <v>40</v>
      </c>
      <c r="J202" s="4">
        <f t="shared" si="14"/>
        <v>4.2367480895317016</v>
      </c>
      <c r="K202">
        <v>1380000</v>
      </c>
      <c r="L202">
        <v>20000</v>
      </c>
      <c r="M202">
        <f t="shared" si="10"/>
        <v>-735265.03820936591</v>
      </c>
      <c r="N202">
        <f t="shared" si="11"/>
        <v>0</v>
      </c>
      <c r="O202">
        <f t="shared" si="12"/>
        <v>-735265.03820936591</v>
      </c>
    </row>
    <row r="203" spans="1:15" x14ac:dyDescent="0.3">
      <c r="A203">
        <v>185</v>
      </c>
      <c r="B203" s="4">
        <v>35.785924037364197</v>
      </c>
      <c r="C203" s="4">
        <v>35.803864854584901</v>
      </c>
      <c r="D203" s="2">
        <f>D202+1</f>
        <v>46314</v>
      </c>
      <c r="F203" s="4">
        <f t="shared" si="13"/>
        <v>35.785924037364197</v>
      </c>
      <c r="I203">
        <v>40</v>
      </c>
      <c r="J203" s="4">
        <f t="shared" si="14"/>
        <v>4.2140759626358033</v>
      </c>
      <c r="K203">
        <v>1400000</v>
      </c>
      <c r="L203">
        <v>20000</v>
      </c>
      <c r="M203">
        <f t="shared" si="10"/>
        <v>-735718.4807472839</v>
      </c>
      <c r="N203">
        <f t="shared" si="11"/>
        <v>0</v>
      </c>
      <c r="O203">
        <f t="shared" si="12"/>
        <v>-735718.4807472839</v>
      </c>
    </row>
    <row r="204" spans="1:15" x14ac:dyDescent="0.3">
      <c r="A204">
        <v>186</v>
      </c>
      <c r="B204" s="4">
        <v>35.810555148305603</v>
      </c>
      <c r="C204" s="4">
        <v>35.822668269241703</v>
      </c>
      <c r="D204" s="2">
        <f>D203+1</f>
        <v>46315</v>
      </c>
      <c r="F204" s="4">
        <f t="shared" si="13"/>
        <v>35.810555148305603</v>
      </c>
      <c r="I204">
        <v>40</v>
      </c>
      <c r="J204" s="4">
        <f t="shared" si="14"/>
        <v>4.1894448516943967</v>
      </c>
      <c r="K204">
        <v>1420000</v>
      </c>
      <c r="L204">
        <v>20000</v>
      </c>
      <c r="M204">
        <f t="shared" si="10"/>
        <v>-736211.10296611208</v>
      </c>
      <c r="N204">
        <f t="shared" si="11"/>
        <v>0</v>
      </c>
      <c r="O204">
        <f t="shared" si="12"/>
        <v>-736211.10296611208</v>
      </c>
    </row>
    <row r="205" spans="1:15" x14ac:dyDescent="0.3">
      <c r="A205">
        <v>187</v>
      </c>
      <c r="B205" s="4">
        <v>35.832539539552101</v>
      </c>
      <c r="C205" s="4">
        <v>35.843908452049199</v>
      </c>
      <c r="D205" s="2">
        <f>D204+1</f>
        <v>46316</v>
      </c>
      <c r="F205" s="4">
        <f t="shared" si="13"/>
        <v>35.832539539552101</v>
      </c>
      <c r="I205">
        <v>40</v>
      </c>
      <c r="J205" s="4">
        <f t="shared" si="14"/>
        <v>4.1674604604478986</v>
      </c>
      <c r="K205">
        <v>1440000</v>
      </c>
      <c r="L205">
        <v>20000</v>
      </c>
      <c r="M205">
        <f t="shared" si="10"/>
        <v>-736650.79079104203</v>
      </c>
      <c r="N205">
        <f t="shared" si="11"/>
        <v>0</v>
      </c>
      <c r="O205">
        <f t="shared" si="12"/>
        <v>-736650.79079104203</v>
      </c>
    </row>
    <row r="206" spans="1:15" x14ac:dyDescent="0.3">
      <c r="A206">
        <v>188</v>
      </c>
      <c r="B206" s="4">
        <v>35.851783635378901</v>
      </c>
      <c r="C206" s="4">
        <v>35.867679743310397</v>
      </c>
      <c r="D206" s="2">
        <f>D205+1</f>
        <v>46317</v>
      </c>
      <c r="F206" s="4">
        <f t="shared" si="13"/>
        <v>35.851783635378901</v>
      </c>
      <c r="I206">
        <v>40</v>
      </c>
      <c r="J206" s="4">
        <f t="shared" si="14"/>
        <v>4.1482163646210992</v>
      </c>
      <c r="K206">
        <v>1460000</v>
      </c>
      <c r="L206">
        <v>20000</v>
      </c>
      <c r="M206">
        <f t="shared" si="10"/>
        <v>-737035.67270757805</v>
      </c>
      <c r="N206">
        <f t="shared" si="11"/>
        <v>0</v>
      </c>
      <c r="O206">
        <f t="shared" si="12"/>
        <v>-737035.67270757805</v>
      </c>
    </row>
    <row r="207" spans="1:15" x14ac:dyDescent="0.3">
      <c r="A207">
        <v>189</v>
      </c>
      <c r="B207" s="4">
        <v>35.870663936556603</v>
      </c>
      <c r="C207" s="4">
        <v>35.891605975099999</v>
      </c>
      <c r="D207" s="2">
        <f>D206+1</f>
        <v>46318</v>
      </c>
      <c r="F207" s="4">
        <f t="shared" si="13"/>
        <v>35.870663936556603</v>
      </c>
      <c r="I207">
        <v>40</v>
      </c>
      <c r="J207" s="4">
        <f t="shared" si="14"/>
        <v>4.1293360634433967</v>
      </c>
      <c r="K207">
        <v>1480000</v>
      </c>
      <c r="L207">
        <v>20000</v>
      </c>
      <c r="M207">
        <f t="shared" si="10"/>
        <v>-737413.27873113204</v>
      </c>
      <c r="N207">
        <f t="shared" si="11"/>
        <v>0</v>
      </c>
      <c r="O207">
        <f t="shared" si="12"/>
        <v>-737413.27873113204</v>
      </c>
    </row>
    <row r="208" spans="1:15" x14ac:dyDescent="0.3">
      <c r="A208">
        <v>190</v>
      </c>
      <c r="B208" s="4">
        <v>35.895105491055503</v>
      </c>
      <c r="C208" s="4">
        <v>35.909759690044602</v>
      </c>
      <c r="D208" s="2">
        <f>D207+1</f>
        <v>46319</v>
      </c>
      <c r="F208" s="4">
        <f t="shared" si="13"/>
        <v>35.895105491055503</v>
      </c>
      <c r="I208">
        <v>40</v>
      </c>
      <c r="J208" s="4">
        <f t="shared" si="14"/>
        <v>4.104894508944497</v>
      </c>
      <c r="K208">
        <v>1500000</v>
      </c>
      <c r="L208">
        <v>20000</v>
      </c>
      <c r="M208">
        <f t="shared" si="10"/>
        <v>-737902.10982111003</v>
      </c>
      <c r="N208">
        <f t="shared" si="11"/>
        <v>0</v>
      </c>
      <c r="O208">
        <f t="shared" si="12"/>
        <v>-737902.10982111003</v>
      </c>
    </row>
    <row r="209" spans="1:15" x14ac:dyDescent="0.3">
      <c r="A209">
        <v>191</v>
      </c>
      <c r="B209" s="4">
        <v>35.919566429426602</v>
      </c>
      <c r="C209" s="4">
        <v>35.927687012939103</v>
      </c>
      <c r="D209" s="2">
        <f>D208+1</f>
        <v>46320</v>
      </c>
      <c r="F209" s="4">
        <f t="shared" si="13"/>
        <v>35.919566429426602</v>
      </c>
      <c r="I209">
        <v>40</v>
      </c>
      <c r="J209" s="4">
        <f t="shared" si="14"/>
        <v>4.0804335705733976</v>
      </c>
      <c r="K209">
        <v>1520000</v>
      </c>
      <c r="L209">
        <v>20000</v>
      </c>
      <c r="M209">
        <f t="shared" si="10"/>
        <v>-738391.32858853205</v>
      </c>
      <c r="N209">
        <f t="shared" si="11"/>
        <v>0</v>
      </c>
      <c r="O209">
        <f t="shared" si="12"/>
        <v>-738391.32858853205</v>
      </c>
    </row>
    <row r="210" spans="1:15" x14ac:dyDescent="0.3">
      <c r="A210">
        <v>192</v>
      </c>
      <c r="B210" s="4">
        <v>35.940340872623899</v>
      </c>
      <c r="C210" s="4">
        <v>35.949095284214103</v>
      </c>
      <c r="D210" s="2">
        <f>D209+1</f>
        <v>46321</v>
      </c>
      <c r="F210" s="4">
        <f t="shared" si="13"/>
        <v>35.940340872623899</v>
      </c>
      <c r="I210">
        <v>40</v>
      </c>
      <c r="J210" s="4">
        <f t="shared" si="14"/>
        <v>4.0596591273761007</v>
      </c>
      <c r="K210">
        <v>1540000</v>
      </c>
      <c r="L210">
        <v>20000</v>
      </c>
      <c r="M210">
        <f t="shared" si="10"/>
        <v>-738806.81745247799</v>
      </c>
      <c r="N210">
        <f t="shared" si="11"/>
        <v>0</v>
      </c>
      <c r="O210">
        <f t="shared" si="12"/>
        <v>-738806.81745247799</v>
      </c>
    </row>
    <row r="211" spans="1:15" x14ac:dyDescent="0.3">
      <c r="A211">
        <v>193</v>
      </c>
      <c r="B211" s="4">
        <v>35.960631607468699</v>
      </c>
      <c r="C211" s="4">
        <v>35.970781588045398</v>
      </c>
      <c r="D211" s="2">
        <f>D210+1</f>
        <v>46322</v>
      </c>
      <c r="F211" s="4">
        <f t="shared" si="13"/>
        <v>35.960631607468699</v>
      </c>
      <c r="I211">
        <v>40</v>
      </c>
      <c r="J211" s="4">
        <f t="shared" si="14"/>
        <v>4.0393683925313013</v>
      </c>
      <c r="K211">
        <v>1560000</v>
      </c>
      <c r="L211">
        <v>20000</v>
      </c>
      <c r="M211">
        <f t="shared" ref="M211:M274" si="15">IF(L211&gt;0,-(F211+$C$6)*L211,0)</f>
        <v>-739212.632149374</v>
      </c>
      <c r="N211">
        <f t="shared" ref="N211:N274" si="16">IF(L211&lt;0,ABS(L211)*(F211-$C$7),0)</f>
        <v>0</v>
      </c>
      <c r="O211">
        <f t="shared" ref="O211:O274" si="17">SUM(M211:N211)</f>
        <v>-739212.632149374</v>
      </c>
    </row>
    <row r="212" spans="1:15" x14ac:dyDescent="0.3">
      <c r="A212">
        <v>194</v>
      </c>
      <c r="B212" s="4">
        <v>35.984286428770801</v>
      </c>
      <c r="C212" s="4">
        <v>35.988898139615898</v>
      </c>
      <c r="D212" s="2">
        <f>D211+1</f>
        <v>46323</v>
      </c>
      <c r="F212" s="4">
        <f t="shared" ref="F212:F275" si="18">B212</f>
        <v>35.984286428770801</v>
      </c>
      <c r="I212">
        <v>40</v>
      </c>
      <c r="J212" s="4">
        <f t="shared" ref="J212:J275" si="19">I212-F212</f>
        <v>4.0157135712291989</v>
      </c>
      <c r="K212">
        <v>1580000</v>
      </c>
      <c r="L212">
        <v>20000</v>
      </c>
      <c r="M212">
        <f t="shared" si="15"/>
        <v>-739685.72857541603</v>
      </c>
      <c r="N212">
        <f t="shared" si="16"/>
        <v>0</v>
      </c>
      <c r="O212">
        <f t="shared" si="17"/>
        <v>-739685.72857541603</v>
      </c>
    </row>
    <row r="213" spans="1:15" x14ac:dyDescent="0.3">
      <c r="A213">
        <v>195</v>
      </c>
      <c r="B213" s="4">
        <v>36.003001784479999</v>
      </c>
      <c r="C213" s="4">
        <v>36.0117510626878</v>
      </c>
      <c r="D213" s="2">
        <f>D212+1</f>
        <v>46324</v>
      </c>
      <c r="F213" s="4">
        <f t="shared" si="18"/>
        <v>36.003001784479999</v>
      </c>
      <c r="I213">
        <v>40</v>
      </c>
      <c r="J213" s="4">
        <f t="shared" si="19"/>
        <v>3.9969982155200015</v>
      </c>
      <c r="K213">
        <v>1600000</v>
      </c>
      <c r="L213">
        <v>20000</v>
      </c>
      <c r="M213">
        <f t="shared" si="15"/>
        <v>-740060.03568959993</v>
      </c>
      <c r="N213">
        <f t="shared" si="16"/>
        <v>0</v>
      </c>
      <c r="O213">
        <f t="shared" si="17"/>
        <v>-740060.03568959993</v>
      </c>
    </row>
    <row r="214" spans="1:15" x14ac:dyDescent="0.3">
      <c r="A214">
        <v>196</v>
      </c>
      <c r="B214" s="4">
        <v>36.022023684742599</v>
      </c>
      <c r="C214" s="4">
        <v>36.0340943567507</v>
      </c>
      <c r="D214" s="2">
        <f>D213+1</f>
        <v>46325</v>
      </c>
      <c r="F214" s="4">
        <f t="shared" si="18"/>
        <v>36.022023684742599</v>
      </c>
      <c r="I214">
        <v>40</v>
      </c>
      <c r="J214" s="4">
        <f t="shared" si="19"/>
        <v>3.9779763152574006</v>
      </c>
      <c r="K214">
        <v>1620000</v>
      </c>
      <c r="L214">
        <v>20000</v>
      </c>
      <c r="M214">
        <f t="shared" si="15"/>
        <v>-740440.47369485197</v>
      </c>
      <c r="N214">
        <f t="shared" si="16"/>
        <v>0</v>
      </c>
      <c r="O214">
        <f t="shared" si="17"/>
        <v>-740440.47369485197</v>
      </c>
    </row>
    <row r="215" spans="1:15" x14ac:dyDescent="0.3">
      <c r="A215">
        <v>197</v>
      </c>
      <c r="B215" s="4">
        <v>36.0438443709876</v>
      </c>
      <c r="C215" s="4">
        <v>36.053435695694297</v>
      </c>
      <c r="D215" s="2">
        <f>D214+1</f>
        <v>46326</v>
      </c>
      <c r="F215" s="4">
        <f t="shared" si="18"/>
        <v>36.0438443709876</v>
      </c>
      <c r="I215">
        <v>40</v>
      </c>
      <c r="J215" s="4">
        <f t="shared" si="19"/>
        <v>3.9561556290124003</v>
      </c>
      <c r="K215">
        <v>1640000</v>
      </c>
      <c r="L215">
        <v>20000</v>
      </c>
      <c r="M215">
        <f t="shared" si="15"/>
        <v>-740876.88741975196</v>
      </c>
      <c r="N215">
        <f t="shared" si="16"/>
        <v>0</v>
      </c>
      <c r="O215">
        <f t="shared" si="17"/>
        <v>-740876.88741975196</v>
      </c>
    </row>
    <row r="216" spans="1:15" x14ac:dyDescent="0.3">
      <c r="A216">
        <v>198</v>
      </c>
      <c r="B216" s="4">
        <v>36.063605720258401</v>
      </c>
      <c r="C216" s="4">
        <v>36.074635494780601</v>
      </c>
      <c r="D216" s="2">
        <f>D215+1</f>
        <v>46327</v>
      </c>
      <c r="F216" s="4">
        <f t="shared" si="18"/>
        <v>36.063605720258401</v>
      </c>
      <c r="I216">
        <v>40</v>
      </c>
      <c r="J216" s="4">
        <f t="shared" si="19"/>
        <v>3.9363942797415987</v>
      </c>
      <c r="K216">
        <v>1660000</v>
      </c>
      <c r="L216">
        <v>20000</v>
      </c>
      <c r="M216">
        <f t="shared" si="15"/>
        <v>-741272.11440516799</v>
      </c>
      <c r="N216">
        <f t="shared" si="16"/>
        <v>0</v>
      </c>
      <c r="O216">
        <f t="shared" si="17"/>
        <v>-741272.11440516799</v>
      </c>
    </row>
    <row r="217" spans="1:15" x14ac:dyDescent="0.3">
      <c r="A217">
        <v>199</v>
      </c>
      <c r="B217" s="4">
        <v>36.084003261725499</v>
      </c>
      <c r="C217" s="4">
        <v>36.094998294739298</v>
      </c>
      <c r="D217" s="2">
        <f>D216+1</f>
        <v>46328</v>
      </c>
      <c r="F217" s="4">
        <f t="shared" si="18"/>
        <v>36.084003261725499</v>
      </c>
      <c r="I217">
        <v>40</v>
      </c>
      <c r="J217" s="4">
        <f t="shared" si="19"/>
        <v>3.9159967382745009</v>
      </c>
      <c r="K217">
        <v>1680000</v>
      </c>
      <c r="L217">
        <v>20000</v>
      </c>
      <c r="M217">
        <f t="shared" si="15"/>
        <v>-741680.06523451</v>
      </c>
      <c r="N217">
        <f t="shared" si="16"/>
        <v>0</v>
      </c>
      <c r="O217">
        <f t="shared" si="17"/>
        <v>-741680.06523451</v>
      </c>
    </row>
    <row r="218" spans="1:15" x14ac:dyDescent="0.3">
      <c r="A218">
        <v>200</v>
      </c>
      <c r="B218" s="4">
        <v>36.104002587924803</v>
      </c>
      <c r="C218" s="4">
        <v>36.115559664015301</v>
      </c>
      <c r="D218" s="2">
        <f>D217+1</f>
        <v>46329</v>
      </c>
      <c r="F218" s="4">
        <f t="shared" si="18"/>
        <v>36.104002587924803</v>
      </c>
      <c r="I218">
        <v>40</v>
      </c>
      <c r="J218" s="4">
        <f t="shared" si="19"/>
        <v>3.8959974120751966</v>
      </c>
      <c r="K218">
        <v>1700000</v>
      </c>
      <c r="L218">
        <v>20000</v>
      </c>
      <c r="M218">
        <f t="shared" si="15"/>
        <v>-742080.05175849609</v>
      </c>
      <c r="N218">
        <f t="shared" si="16"/>
        <v>0</v>
      </c>
      <c r="O218">
        <f t="shared" si="17"/>
        <v>-742080.05175849609</v>
      </c>
    </row>
    <row r="219" spans="1:15" x14ac:dyDescent="0.3">
      <c r="A219">
        <v>201</v>
      </c>
      <c r="B219" s="4">
        <v>36.124848127716703</v>
      </c>
      <c r="C219" s="4">
        <v>36.135075647097203</v>
      </c>
      <c r="D219" s="2">
        <f>D218+1</f>
        <v>46330</v>
      </c>
      <c r="F219" s="4">
        <f t="shared" si="18"/>
        <v>36.124848127716703</v>
      </c>
      <c r="I219">
        <v>40</v>
      </c>
      <c r="J219" s="4">
        <f t="shared" si="19"/>
        <v>3.8751518722832969</v>
      </c>
      <c r="K219">
        <v>1720000</v>
      </c>
      <c r="L219">
        <v>20000</v>
      </c>
      <c r="M219">
        <f t="shared" si="15"/>
        <v>-742496.96255433408</v>
      </c>
      <c r="N219">
        <f t="shared" si="16"/>
        <v>0</v>
      </c>
      <c r="O219">
        <f t="shared" si="17"/>
        <v>-742496.96255433408</v>
      </c>
    </row>
    <row r="220" spans="1:15" x14ac:dyDescent="0.3">
      <c r="A220">
        <v>202</v>
      </c>
      <c r="B220" s="4">
        <v>36.147609816422303</v>
      </c>
      <c r="C220" s="4">
        <v>36.152477090183297</v>
      </c>
      <c r="D220" s="2">
        <f>D219+1</f>
        <v>46331</v>
      </c>
      <c r="F220" s="4">
        <f t="shared" si="18"/>
        <v>36.147609816422303</v>
      </c>
      <c r="I220">
        <v>40</v>
      </c>
      <c r="J220" s="4">
        <f t="shared" si="19"/>
        <v>3.8523901835776968</v>
      </c>
      <c r="K220">
        <v>1740000</v>
      </c>
      <c r="L220">
        <v>20000</v>
      </c>
      <c r="M220">
        <f t="shared" si="15"/>
        <v>-742952.19632844604</v>
      </c>
      <c r="N220">
        <f t="shared" si="16"/>
        <v>0</v>
      </c>
      <c r="O220">
        <f t="shared" si="17"/>
        <v>-742952.19632844604</v>
      </c>
    </row>
    <row r="221" spans="1:15" x14ac:dyDescent="0.3">
      <c r="A221">
        <v>203</v>
      </c>
      <c r="B221" s="4">
        <v>36.167775981576597</v>
      </c>
      <c r="C221" s="4">
        <v>36.172277410967098</v>
      </c>
      <c r="D221" s="2">
        <f>D220+1</f>
        <v>46332</v>
      </c>
      <c r="F221" s="4">
        <f t="shared" si="18"/>
        <v>36.167775981576597</v>
      </c>
      <c r="I221">
        <v>40</v>
      </c>
      <c r="J221" s="4">
        <f t="shared" si="19"/>
        <v>3.8322240184234033</v>
      </c>
      <c r="K221">
        <v>1760000</v>
      </c>
      <c r="L221">
        <v>20000</v>
      </c>
      <c r="M221">
        <f t="shared" si="15"/>
        <v>-743355.5196315319</v>
      </c>
      <c r="N221">
        <f t="shared" si="16"/>
        <v>0</v>
      </c>
      <c r="O221">
        <f t="shared" si="17"/>
        <v>-743355.5196315319</v>
      </c>
    </row>
    <row r="222" spans="1:15" x14ac:dyDescent="0.3">
      <c r="A222">
        <v>204</v>
      </c>
      <c r="B222" s="4">
        <v>36.1888881170131</v>
      </c>
      <c r="C222" s="4">
        <v>36.190935339828002</v>
      </c>
      <c r="D222" s="2">
        <f>D221+1</f>
        <v>46333</v>
      </c>
      <c r="F222" s="4">
        <f t="shared" si="18"/>
        <v>36.1888881170131</v>
      </c>
      <c r="I222">
        <v>40</v>
      </c>
      <c r="J222" s="4">
        <f t="shared" si="19"/>
        <v>3.8111118829869</v>
      </c>
      <c r="K222">
        <v>1780000</v>
      </c>
      <c r="L222">
        <v>20000</v>
      </c>
      <c r="M222">
        <f t="shared" si="15"/>
        <v>-743777.76234026195</v>
      </c>
      <c r="N222">
        <f t="shared" si="16"/>
        <v>0</v>
      </c>
      <c r="O222">
        <f t="shared" si="17"/>
        <v>-743777.76234026195</v>
      </c>
    </row>
    <row r="223" spans="1:15" x14ac:dyDescent="0.3">
      <c r="A223">
        <v>205</v>
      </c>
      <c r="B223" s="4">
        <v>36.204807054097103</v>
      </c>
      <c r="C223" s="4">
        <v>36.214591721262401</v>
      </c>
      <c r="D223" s="2">
        <f>D222+1</f>
        <v>46334</v>
      </c>
      <c r="F223" s="4">
        <f t="shared" si="18"/>
        <v>36.204807054097103</v>
      </c>
      <c r="I223">
        <v>40</v>
      </c>
      <c r="J223" s="4">
        <f t="shared" si="19"/>
        <v>3.7951929459028975</v>
      </c>
      <c r="K223">
        <v>1800000</v>
      </c>
      <c r="L223">
        <v>20000</v>
      </c>
      <c r="M223">
        <f t="shared" si="15"/>
        <v>-744096.14108194201</v>
      </c>
      <c r="N223">
        <f t="shared" si="16"/>
        <v>0</v>
      </c>
      <c r="O223">
        <f t="shared" si="17"/>
        <v>-744096.14108194201</v>
      </c>
    </row>
    <row r="224" spans="1:15" x14ac:dyDescent="0.3">
      <c r="A224">
        <v>206</v>
      </c>
      <c r="B224" s="4">
        <v>36.224429050982401</v>
      </c>
      <c r="C224" s="4">
        <v>36.234349783095503</v>
      </c>
      <c r="D224" s="2">
        <f>D223+1</f>
        <v>46335</v>
      </c>
      <c r="F224" s="4">
        <f t="shared" si="18"/>
        <v>36.224429050982401</v>
      </c>
      <c r="I224">
        <v>40</v>
      </c>
      <c r="J224" s="4">
        <f t="shared" si="19"/>
        <v>3.7755709490175988</v>
      </c>
      <c r="K224">
        <v>1820000</v>
      </c>
      <c r="L224">
        <v>20000</v>
      </c>
      <c r="M224">
        <f t="shared" si="15"/>
        <v>-744488.581019648</v>
      </c>
      <c r="N224">
        <f t="shared" si="16"/>
        <v>0</v>
      </c>
      <c r="O224">
        <f t="shared" si="17"/>
        <v>-744488.581019648</v>
      </c>
    </row>
    <row r="225" spans="1:15" x14ac:dyDescent="0.3">
      <c r="A225">
        <v>207</v>
      </c>
      <c r="B225" s="4">
        <v>36.242451843124201</v>
      </c>
      <c r="C225" s="4">
        <v>36.255513723871502</v>
      </c>
      <c r="D225" s="2">
        <f>D224+1</f>
        <v>46336</v>
      </c>
      <c r="F225" s="4">
        <f t="shared" si="18"/>
        <v>36.242451843124201</v>
      </c>
      <c r="I225">
        <v>40</v>
      </c>
      <c r="J225" s="4">
        <f t="shared" si="19"/>
        <v>3.7575481568757994</v>
      </c>
      <c r="K225">
        <v>1840000</v>
      </c>
      <c r="L225">
        <v>20000</v>
      </c>
      <c r="M225">
        <f t="shared" si="15"/>
        <v>-744849.03686248406</v>
      </c>
      <c r="N225">
        <f t="shared" si="16"/>
        <v>0</v>
      </c>
      <c r="O225">
        <f t="shared" si="17"/>
        <v>-744849.03686248406</v>
      </c>
    </row>
    <row r="226" spans="1:15" x14ac:dyDescent="0.3">
      <c r="A226">
        <v>208</v>
      </c>
      <c r="B226" s="4">
        <v>36.259674469266002</v>
      </c>
      <c r="C226" s="4">
        <v>36.277285327450798</v>
      </c>
      <c r="D226" s="2">
        <f>D225+1</f>
        <v>46337</v>
      </c>
      <c r="F226" s="4">
        <f t="shared" si="18"/>
        <v>36.259674469266002</v>
      </c>
      <c r="I226">
        <v>40</v>
      </c>
      <c r="J226" s="4">
        <f t="shared" si="19"/>
        <v>3.7403255307339975</v>
      </c>
      <c r="K226">
        <v>1860000</v>
      </c>
      <c r="L226">
        <v>20000</v>
      </c>
      <c r="M226">
        <f t="shared" si="15"/>
        <v>-745193.48938532011</v>
      </c>
      <c r="N226">
        <f t="shared" si="16"/>
        <v>0</v>
      </c>
      <c r="O226">
        <f t="shared" si="17"/>
        <v>-745193.48938532011</v>
      </c>
    </row>
    <row r="227" spans="1:15" x14ac:dyDescent="0.3">
      <c r="A227">
        <v>209</v>
      </c>
      <c r="B227" s="4">
        <v>36.2774560341796</v>
      </c>
      <c r="C227" s="4">
        <v>36.298305757328897</v>
      </c>
      <c r="D227" s="2">
        <f>D226+1</f>
        <v>46338</v>
      </c>
      <c r="F227" s="4">
        <f t="shared" si="18"/>
        <v>36.2774560341796</v>
      </c>
      <c r="I227">
        <v>40</v>
      </c>
      <c r="J227" s="4">
        <f t="shared" si="19"/>
        <v>3.7225439658203996</v>
      </c>
      <c r="K227">
        <v>1880000</v>
      </c>
      <c r="L227">
        <v>20000</v>
      </c>
      <c r="M227">
        <f t="shared" si="15"/>
        <v>-745549.12068359205</v>
      </c>
      <c r="N227">
        <f t="shared" si="16"/>
        <v>0</v>
      </c>
      <c r="O227">
        <f t="shared" si="17"/>
        <v>-745549.12068359205</v>
      </c>
    </row>
    <row r="228" spans="1:15" x14ac:dyDescent="0.3">
      <c r="A228">
        <v>210</v>
      </c>
      <c r="B228" s="4">
        <v>36.296179518455403</v>
      </c>
      <c r="C228" s="4">
        <v>36.3181924552973</v>
      </c>
      <c r="D228" s="2">
        <f>D227+1</f>
        <v>46339</v>
      </c>
      <c r="F228" s="4">
        <f t="shared" si="18"/>
        <v>36.296179518455403</v>
      </c>
      <c r="I228">
        <v>40</v>
      </c>
      <c r="J228" s="4">
        <f t="shared" si="19"/>
        <v>3.7038204815445965</v>
      </c>
      <c r="K228">
        <v>1900000</v>
      </c>
      <c r="L228">
        <v>20000</v>
      </c>
      <c r="M228">
        <f t="shared" si="15"/>
        <v>-745923.59036910802</v>
      </c>
      <c r="N228">
        <f t="shared" si="16"/>
        <v>0</v>
      </c>
      <c r="O228">
        <f t="shared" si="17"/>
        <v>-745923.59036910802</v>
      </c>
    </row>
    <row r="229" spans="1:15" x14ac:dyDescent="0.3">
      <c r="A229">
        <v>211</v>
      </c>
      <c r="B229" s="4">
        <v>36.317179173391501</v>
      </c>
      <c r="C229" s="4">
        <v>36.335611176426603</v>
      </c>
      <c r="D229" s="2">
        <f>D228+1</f>
        <v>46340</v>
      </c>
      <c r="F229" s="4">
        <f t="shared" si="18"/>
        <v>36.317179173391501</v>
      </c>
      <c r="I229">
        <v>40</v>
      </c>
      <c r="J229" s="4">
        <f t="shared" si="19"/>
        <v>3.6828208266084985</v>
      </c>
      <c r="K229">
        <v>1920000</v>
      </c>
      <c r="L229">
        <v>20000</v>
      </c>
      <c r="M229">
        <f t="shared" si="15"/>
        <v>-746343.58346782997</v>
      </c>
      <c r="N229">
        <f t="shared" si="16"/>
        <v>0</v>
      </c>
      <c r="O229">
        <f t="shared" si="17"/>
        <v>-746343.58346782997</v>
      </c>
    </row>
    <row r="230" spans="1:15" x14ac:dyDescent="0.3">
      <c r="A230">
        <v>212</v>
      </c>
      <c r="B230" s="4">
        <v>36.333824665089701</v>
      </c>
      <c r="C230" s="4">
        <v>36.357196841485198</v>
      </c>
      <c r="D230" s="2">
        <f>D229+1</f>
        <v>46341</v>
      </c>
      <c r="F230" s="4">
        <f t="shared" si="18"/>
        <v>36.333824665089701</v>
      </c>
      <c r="I230">
        <v>40</v>
      </c>
      <c r="J230" s="4">
        <f t="shared" si="19"/>
        <v>3.6661753349102995</v>
      </c>
      <c r="K230">
        <v>1940000</v>
      </c>
      <c r="L230">
        <v>20000</v>
      </c>
      <c r="M230">
        <f t="shared" si="15"/>
        <v>-746676.49330179405</v>
      </c>
      <c r="N230">
        <f t="shared" si="16"/>
        <v>0</v>
      </c>
      <c r="O230">
        <f t="shared" si="17"/>
        <v>-746676.49330179405</v>
      </c>
    </row>
    <row r="231" spans="1:15" x14ac:dyDescent="0.3">
      <c r="A231">
        <v>213</v>
      </c>
      <c r="B231" s="4">
        <v>36.3529609479315</v>
      </c>
      <c r="C231" s="4">
        <v>36.376101409395297</v>
      </c>
      <c r="D231" s="2">
        <f>D230+1</f>
        <v>46342</v>
      </c>
      <c r="F231" s="4">
        <f t="shared" si="18"/>
        <v>36.3529609479315</v>
      </c>
      <c r="I231">
        <v>40</v>
      </c>
      <c r="J231" s="4">
        <f t="shared" si="19"/>
        <v>3.6470390520685001</v>
      </c>
      <c r="K231">
        <v>1960000</v>
      </c>
      <c r="L231">
        <v>20000</v>
      </c>
      <c r="M231">
        <f t="shared" si="15"/>
        <v>-747059.21895862999</v>
      </c>
      <c r="N231">
        <f t="shared" si="16"/>
        <v>0</v>
      </c>
      <c r="O231">
        <f t="shared" si="17"/>
        <v>-747059.21895862999</v>
      </c>
    </row>
    <row r="232" spans="1:15" x14ac:dyDescent="0.3">
      <c r="A232">
        <v>214</v>
      </c>
      <c r="B232" s="4">
        <v>36.371025676919601</v>
      </c>
      <c r="C232" s="4">
        <v>36.395890187410899</v>
      </c>
      <c r="D232" s="2">
        <f>D231+1</f>
        <v>46343</v>
      </c>
      <c r="F232" s="4">
        <f t="shared" si="18"/>
        <v>36.371025676919601</v>
      </c>
      <c r="I232">
        <v>40</v>
      </c>
      <c r="J232" s="4">
        <f t="shared" si="19"/>
        <v>3.6289743230803992</v>
      </c>
      <c r="K232">
        <v>1980000</v>
      </c>
      <c r="L232">
        <v>20000</v>
      </c>
      <c r="M232">
        <f t="shared" si="15"/>
        <v>-747420.51353839203</v>
      </c>
      <c r="N232">
        <f t="shared" si="16"/>
        <v>0</v>
      </c>
      <c r="O232">
        <f t="shared" si="17"/>
        <v>-747420.51353839203</v>
      </c>
    </row>
    <row r="233" spans="1:15" x14ac:dyDescent="0.3">
      <c r="A233">
        <v>215</v>
      </c>
      <c r="B233" s="4">
        <v>36.389297824426798</v>
      </c>
      <c r="C233" s="4">
        <v>36.415284204805197</v>
      </c>
      <c r="D233" s="2">
        <f>D232+1</f>
        <v>46344</v>
      </c>
      <c r="F233" s="4">
        <f t="shared" si="18"/>
        <v>36.389297824426798</v>
      </c>
      <c r="I233">
        <v>40</v>
      </c>
      <c r="J233" s="4">
        <f t="shared" si="19"/>
        <v>3.6107021755732021</v>
      </c>
      <c r="K233">
        <v>2000000</v>
      </c>
      <c r="L233">
        <v>0</v>
      </c>
      <c r="M233">
        <f t="shared" si="15"/>
        <v>0</v>
      </c>
      <c r="N233">
        <f t="shared" si="16"/>
        <v>0</v>
      </c>
      <c r="O233">
        <f t="shared" si="17"/>
        <v>0</v>
      </c>
    </row>
    <row r="234" spans="1:15" x14ac:dyDescent="0.3">
      <c r="A234">
        <v>216</v>
      </c>
      <c r="B234" s="4">
        <v>36.410006935535201</v>
      </c>
      <c r="C234" s="4">
        <v>36.4320532218712</v>
      </c>
      <c r="D234" s="2">
        <f>D233+1</f>
        <v>46345</v>
      </c>
      <c r="F234" s="4">
        <f t="shared" si="18"/>
        <v>36.410006935535201</v>
      </c>
      <c r="I234">
        <v>40</v>
      </c>
      <c r="J234" s="4">
        <f t="shared" si="19"/>
        <v>3.5899930644647995</v>
      </c>
      <c r="K234">
        <v>2000000</v>
      </c>
      <c r="L234">
        <v>0</v>
      </c>
      <c r="M234">
        <f t="shared" si="15"/>
        <v>0</v>
      </c>
      <c r="N234">
        <f t="shared" si="16"/>
        <v>0</v>
      </c>
      <c r="O234">
        <f t="shared" si="17"/>
        <v>0</v>
      </c>
    </row>
    <row r="235" spans="1:15" x14ac:dyDescent="0.3">
      <c r="A235">
        <v>217</v>
      </c>
      <c r="B235" s="4">
        <v>36.429731371630602</v>
      </c>
      <c r="C235" s="4">
        <v>36.4496220646311</v>
      </c>
      <c r="D235" s="2">
        <f>D234+1</f>
        <v>46346</v>
      </c>
      <c r="F235" s="4">
        <f t="shared" si="18"/>
        <v>36.429731371630602</v>
      </c>
      <c r="I235">
        <v>40</v>
      </c>
      <c r="J235" s="4">
        <f t="shared" si="19"/>
        <v>3.5702686283693978</v>
      </c>
      <c r="K235">
        <v>2000000</v>
      </c>
      <c r="L235">
        <v>0</v>
      </c>
      <c r="M235">
        <f t="shared" si="15"/>
        <v>0</v>
      </c>
      <c r="N235">
        <f t="shared" si="16"/>
        <v>0</v>
      </c>
      <c r="O235">
        <f t="shared" si="17"/>
        <v>0</v>
      </c>
    </row>
    <row r="236" spans="1:15" x14ac:dyDescent="0.3">
      <c r="A236">
        <v>218</v>
      </c>
      <c r="B236" s="4">
        <v>36.450878950183899</v>
      </c>
      <c r="C236" s="4">
        <v>36.465582440478698</v>
      </c>
      <c r="D236" s="2">
        <f>D235+1</f>
        <v>46347</v>
      </c>
      <c r="F236" s="4">
        <f t="shared" si="18"/>
        <v>36.450878950183899</v>
      </c>
      <c r="I236">
        <v>40</v>
      </c>
      <c r="J236" s="4">
        <f t="shared" si="19"/>
        <v>3.549121049816101</v>
      </c>
      <c r="K236">
        <v>2000000</v>
      </c>
      <c r="L236">
        <v>0</v>
      </c>
      <c r="M236">
        <f t="shared" si="15"/>
        <v>0</v>
      </c>
      <c r="N236">
        <f t="shared" si="16"/>
        <v>0</v>
      </c>
      <c r="O236">
        <f t="shared" si="17"/>
        <v>0</v>
      </c>
    </row>
    <row r="237" spans="1:15" x14ac:dyDescent="0.3">
      <c r="A237">
        <v>219</v>
      </c>
      <c r="B237" s="4">
        <v>36.469084000146303</v>
      </c>
      <c r="C237" s="4">
        <v>36.484302779192902</v>
      </c>
      <c r="D237" s="2">
        <f>D236+1</f>
        <v>46348</v>
      </c>
      <c r="F237" s="4">
        <f t="shared" si="18"/>
        <v>36.469084000146303</v>
      </c>
      <c r="I237">
        <v>40</v>
      </c>
      <c r="J237" s="4">
        <f t="shared" si="19"/>
        <v>3.530915999853697</v>
      </c>
      <c r="K237">
        <v>2000000</v>
      </c>
      <c r="L237">
        <v>0</v>
      </c>
      <c r="M237">
        <f t="shared" si="15"/>
        <v>0</v>
      </c>
      <c r="N237">
        <f t="shared" si="16"/>
        <v>0</v>
      </c>
      <c r="O237">
        <f t="shared" si="17"/>
        <v>0</v>
      </c>
    </row>
    <row r="238" spans="1:15" x14ac:dyDescent="0.3">
      <c r="A238">
        <v>220</v>
      </c>
      <c r="B238" s="4">
        <v>36.4861677962611</v>
      </c>
      <c r="C238" s="4">
        <v>36.503961755379201</v>
      </c>
      <c r="D238" s="2">
        <f>D237+1</f>
        <v>46349</v>
      </c>
      <c r="F238" s="4">
        <f t="shared" si="18"/>
        <v>36.4861677962611</v>
      </c>
      <c r="I238">
        <v>40</v>
      </c>
      <c r="J238" s="4">
        <f t="shared" si="19"/>
        <v>3.5138322037389003</v>
      </c>
      <c r="K238">
        <v>2000000</v>
      </c>
      <c r="L238">
        <v>0</v>
      </c>
      <c r="M238">
        <f t="shared" si="15"/>
        <v>0</v>
      </c>
      <c r="N238">
        <f t="shared" si="16"/>
        <v>0</v>
      </c>
      <c r="O238">
        <f t="shared" si="17"/>
        <v>0</v>
      </c>
    </row>
    <row r="239" spans="1:15" x14ac:dyDescent="0.3">
      <c r="A239">
        <v>221</v>
      </c>
      <c r="B239" s="4">
        <v>36.504065471990501</v>
      </c>
      <c r="C239" s="4">
        <v>36.522624173689202</v>
      </c>
      <c r="D239" s="2">
        <f>D238+1</f>
        <v>46350</v>
      </c>
      <c r="F239" s="4">
        <f t="shared" si="18"/>
        <v>36.504065471990501</v>
      </c>
      <c r="I239">
        <v>40</v>
      </c>
      <c r="J239" s="4">
        <f t="shared" si="19"/>
        <v>3.4959345280094993</v>
      </c>
      <c r="K239">
        <v>2000000</v>
      </c>
      <c r="L239">
        <v>0</v>
      </c>
      <c r="M239">
        <f t="shared" si="15"/>
        <v>0</v>
      </c>
      <c r="N239">
        <f t="shared" si="16"/>
        <v>0</v>
      </c>
      <c r="O239">
        <f t="shared" si="17"/>
        <v>0</v>
      </c>
    </row>
    <row r="240" spans="1:15" x14ac:dyDescent="0.3">
      <c r="A240">
        <v>222</v>
      </c>
      <c r="B240" s="4">
        <v>36.522762897164803</v>
      </c>
      <c r="C240" s="4">
        <v>36.5403049196034</v>
      </c>
      <c r="D240" s="2">
        <f>D239+1</f>
        <v>46351</v>
      </c>
      <c r="F240" s="4">
        <f t="shared" si="18"/>
        <v>36.522762897164803</v>
      </c>
      <c r="I240">
        <v>40</v>
      </c>
      <c r="J240" s="4">
        <f t="shared" si="19"/>
        <v>3.4772371028351969</v>
      </c>
      <c r="K240">
        <v>2000000</v>
      </c>
      <c r="L240">
        <v>0</v>
      </c>
      <c r="M240">
        <f t="shared" si="15"/>
        <v>0</v>
      </c>
      <c r="N240">
        <f t="shared" si="16"/>
        <v>0</v>
      </c>
      <c r="O240">
        <f t="shared" si="17"/>
        <v>0</v>
      </c>
    </row>
    <row r="241" spans="1:15" x14ac:dyDescent="0.3">
      <c r="A241">
        <v>223</v>
      </c>
      <c r="B241" s="4">
        <v>36.541242017545301</v>
      </c>
      <c r="C241" s="4">
        <v>36.5580233638333</v>
      </c>
      <c r="D241" s="2">
        <f>D240+1</f>
        <v>46352</v>
      </c>
      <c r="F241" s="4">
        <f t="shared" si="18"/>
        <v>36.541242017545301</v>
      </c>
      <c r="I241">
        <v>40</v>
      </c>
      <c r="J241" s="4">
        <f t="shared" si="19"/>
        <v>3.4587579824546992</v>
      </c>
      <c r="K241">
        <v>2000000</v>
      </c>
      <c r="L241">
        <v>0</v>
      </c>
      <c r="M241">
        <f t="shared" si="15"/>
        <v>0</v>
      </c>
      <c r="N241">
        <f t="shared" si="16"/>
        <v>0</v>
      </c>
      <c r="O241">
        <f t="shared" si="17"/>
        <v>0</v>
      </c>
    </row>
    <row r="242" spans="1:15" x14ac:dyDescent="0.3">
      <c r="A242">
        <v>224</v>
      </c>
      <c r="B242" s="4">
        <v>36.557223996710498</v>
      </c>
      <c r="C242" s="4">
        <v>36.578060291292402</v>
      </c>
      <c r="D242" s="2">
        <f>D241+1</f>
        <v>46353</v>
      </c>
      <c r="F242" s="4">
        <f t="shared" si="18"/>
        <v>36.557223996710498</v>
      </c>
      <c r="I242">
        <v>40</v>
      </c>
      <c r="J242" s="4">
        <f t="shared" si="19"/>
        <v>3.4427760032895023</v>
      </c>
      <c r="K242">
        <v>2000000</v>
      </c>
      <c r="L242">
        <v>0</v>
      </c>
      <c r="M242">
        <f t="shared" si="15"/>
        <v>0</v>
      </c>
      <c r="N242">
        <f t="shared" si="16"/>
        <v>0</v>
      </c>
      <c r="O242">
        <f t="shared" si="17"/>
        <v>0</v>
      </c>
    </row>
    <row r="243" spans="1:15" x14ac:dyDescent="0.3">
      <c r="A243">
        <v>225</v>
      </c>
      <c r="B243" s="4">
        <v>36.575367890579102</v>
      </c>
      <c r="C243" s="4">
        <v>36.595755051883998</v>
      </c>
      <c r="D243" s="2">
        <f>D242+1</f>
        <v>46354</v>
      </c>
      <c r="F243" s="4">
        <f t="shared" si="18"/>
        <v>36.575367890579102</v>
      </c>
      <c r="I243">
        <v>40</v>
      </c>
      <c r="J243" s="4">
        <f t="shared" si="19"/>
        <v>3.424632109420898</v>
      </c>
      <c r="K243">
        <v>2000000</v>
      </c>
      <c r="L243">
        <v>0</v>
      </c>
      <c r="M243">
        <f t="shared" si="15"/>
        <v>0</v>
      </c>
      <c r="N243">
        <f t="shared" si="16"/>
        <v>0</v>
      </c>
      <c r="O243">
        <f t="shared" si="17"/>
        <v>0</v>
      </c>
    </row>
    <row r="244" spans="1:15" x14ac:dyDescent="0.3">
      <c r="A244">
        <v>226</v>
      </c>
      <c r="B244" s="4">
        <v>36.593684649742698</v>
      </c>
      <c r="C244" s="4">
        <v>36.613098521633503</v>
      </c>
      <c r="D244" s="2">
        <f>D243+1</f>
        <v>46355</v>
      </c>
      <c r="F244" s="4">
        <f t="shared" si="18"/>
        <v>36.593684649742698</v>
      </c>
      <c r="I244">
        <v>40</v>
      </c>
      <c r="J244" s="4">
        <f t="shared" si="19"/>
        <v>3.4063153502573016</v>
      </c>
      <c r="K244">
        <v>2000000</v>
      </c>
      <c r="L244">
        <v>0</v>
      </c>
      <c r="M244">
        <f t="shared" si="15"/>
        <v>0</v>
      </c>
      <c r="N244">
        <f t="shared" si="16"/>
        <v>0</v>
      </c>
      <c r="O244">
        <f t="shared" si="17"/>
        <v>0</v>
      </c>
    </row>
    <row r="245" spans="1:15" x14ac:dyDescent="0.3">
      <c r="A245">
        <v>227</v>
      </c>
      <c r="B245" s="4">
        <v>36.6162842713346</v>
      </c>
      <c r="C245" s="4">
        <v>36.625979967167801</v>
      </c>
      <c r="D245" s="2">
        <f>D244+1</f>
        <v>46356</v>
      </c>
      <c r="F245" s="4">
        <f t="shared" si="18"/>
        <v>36.6162842713346</v>
      </c>
      <c r="I245">
        <v>40</v>
      </c>
      <c r="J245" s="4">
        <f t="shared" si="19"/>
        <v>3.3837157286654005</v>
      </c>
      <c r="K245">
        <v>2000000</v>
      </c>
      <c r="L245">
        <v>0</v>
      </c>
      <c r="M245">
        <f t="shared" si="15"/>
        <v>0</v>
      </c>
      <c r="N245">
        <f t="shared" si="16"/>
        <v>0</v>
      </c>
      <c r="O245">
        <f t="shared" si="17"/>
        <v>0</v>
      </c>
    </row>
    <row r="246" spans="1:15" x14ac:dyDescent="0.3">
      <c r="A246">
        <v>228</v>
      </c>
      <c r="B246" s="4">
        <v>36.637549546982498</v>
      </c>
      <c r="C246" s="4">
        <v>36.640020385487297</v>
      </c>
      <c r="D246" s="2">
        <f>D245+1</f>
        <v>46357</v>
      </c>
      <c r="F246" s="4">
        <f t="shared" si="18"/>
        <v>36.637549546982498</v>
      </c>
      <c r="I246">
        <v>40</v>
      </c>
      <c r="J246" s="4">
        <f t="shared" si="19"/>
        <v>3.3624504530175017</v>
      </c>
      <c r="K246">
        <v>2000000</v>
      </c>
      <c r="L246">
        <v>0</v>
      </c>
      <c r="M246">
        <f t="shared" si="15"/>
        <v>0</v>
      </c>
      <c r="N246">
        <f t="shared" si="16"/>
        <v>0</v>
      </c>
      <c r="O246">
        <f t="shared" si="17"/>
        <v>0</v>
      </c>
    </row>
    <row r="247" spans="1:15" x14ac:dyDescent="0.3">
      <c r="A247">
        <v>229</v>
      </c>
      <c r="B247" s="4">
        <v>36.653488911906997</v>
      </c>
      <c r="C247" s="4">
        <v>36.659211578086499</v>
      </c>
      <c r="D247" s="2">
        <f>D246+1</f>
        <v>46358</v>
      </c>
      <c r="F247" s="4">
        <f t="shared" si="18"/>
        <v>36.653488911906997</v>
      </c>
      <c r="I247">
        <v>40</v>
      </c>
      <c r="J247" s="4">
        <f t="shared" si="19"/>
        <v>3.3465110880930027</v>
      </c>
      <c r="K247">
        <v>2000000</v>
      </c>
      <c r="L247">
        <v>0</v>
      </c>
      <c r="M247">
        <f t="shared" si="15"/>
        <v>0</v>
      </c>
      <c r="N247">
        <f t="shared" si="16"/>
        <v>0</v>
      </c>
      <c r="O247">
        <f t="shared" si="17"/>
        <v>0</v>
      </c>
    </row>
    <row r="248" spans="1:15" x14ac:dyDescent="0.3">
      <c r="A248">
        <v>230</v>
      </c>
      <c r="B248" s="4">
        <v>36.670430882238897</v>
      </c>
      <c r="C248" s="4">
        <v>36.677224941457801</v>
      </c>
      <c r="D248" s="2">
        <f>D247+1</f>
        <v>46359</v>
      </c>
      <c r="F248" s="4">
        <f t="shared" si="18"/>
        <v>36.670430882238897</v>
      </c>
      <c r="I248">
        <v>40</v>
      </c>
      <c r="J248" s="4">
        <f t="shared" si="19"/>
        <v>3.3295691177611033</v>
      </c>
      <c r="K248">
        <v>2000000</v>
      </c>
      <c r="L248">
        <v>0</v>
      </c>
      <c r="M248">
        <f t="shared" si="15"/>
        <v>0</v>
      </c>
      <c r="N248">
        <f t="shared" si="16"/>
        <v>0</v>
      </c>
      <c r="O248">
        <f t="shared" si="17"/>
        <v>0</v>
      </c>
    </row>
    <row r="249" spans="1:15" x14ac:dyDescent="0.3">
      <c r="A249">
        <v>231</v>
      </c>
      <c r="B249" s="4">
        <v>36.685036726930598</v>
      </c>
      <c r="C249" s="4">
        <v>36.697400714946198</v>
      </c>
      <c r="D249" s="2">
        <f>D248+1</f>
        <v>46360</v>
      </c>
      <c r="F249" s="4">
        <f t="shared" si="18"/>
        <v>36.685036726930598</v>
      </c>
      <c r="I249">
        <v>40</v>
      </c>
      <c r="J249" s="4">
        <f t="shared" si="19"/>
        <v>3.3149632730694023</v>
      </c>
      <c r="K249">
        <v>2000000</v>
      </c>
      <c r="L249">
        <v>0</v>
      </c>
      <c r="M249">
        <f t="shared" si="15"/>
        <v>0</v>
      </c>
      <c r="N249">
        <f t="shared" si="16"/>
        <v>0</v>
      </c>
      <c r="O249">
        <f t="shared" si="17"/>
        <v>0</v>
      </c>
    </row>
    <row r="250" spans="1:15" x14ac:dyDescent="0.3">
      <c r="A250">
        <v>232</v>
      </c>
      <c r="B250" s="4">
        <v>36.701239943541403</v>
      </c>
      <c r="C250" s="4">
        <v>36.715805221473097</v>
      </c>
      <c r="D250" s="2">
        <f>D249+1</f>
        <v>46361</v>
      </c>
      <c r="F250" s="4">
        <f t="shared" si="18"/>
        <v>36.701239943541403</v>
      </c>
      <c r="I250">
        <v>40</v>
      </c>
      <c r="J250" s="4">
        <f t="shared" si="19"/>
        <v>3.2987600564585975</v>
      </c>
      <c r="K250">
        <v>2000000</v>
      </c>
      <c r="L250">
        <v>0</v>
      </c>
      <c r="M250">
        <f t="shared" si="15"/>
        <v>0</v>
      </c>
      <c r="N250">
        <f t="shared" si="16"/>
        <v>0</v>
      </c>
      <c r="O250">
        <f t="shared" si="17"/>
        <v>0</v>
      </c>
    </row>
    <row r="251" spans="1:15" x14ac:dyDescent="0.3">
      <c r="A251">
        <v>233</v>
      </c>
      <c r="B251" s="4">
        <v>36.719098283346703</v>
      </c>
      <c r="C251" s="4">
        <v>36.732381163753502</v>
      </c>
      <c r="D251" s="2">
        <f>D250+1</f>
        <v>46362</v>
      </c>
      <c r="F251" s="4">
        <f t="shared" si="18"/>
        <v>36.719098283346703</v>
      </c>
      <c r="I251">
        <v>40</v>
      </c>
      <c r="J251" s="4">
        <f t="shared" si="19"/>
        <v>3.2809017166532968</v>
      </c>
      <c r="K251">
        <v>2000000</v>
      </c>
      <c r="L251">
        <v>0</v>
      </c>
      <c r="M251">
        <f t="shared" si="15"/>
        <v>0</v>
      </c>
      <c r="N251">
        <f t="shared" si="16"/>
        <v>0</v>
      </c>
      <c r="O251">
        <f t="shared" si="17"/>
        <v>0</v>
      </c>
    </row>
    <row r="252" spans="1:15" x14ac:dyDescent="0.3">
      <c r="A252">
        <v>234</v>
      </c>
      <c r="B252" s="4">
        <v>36.738574356285802</v>
      </c>
      <c r="C252" s="4">
        <v>36.7471668987396</v>
      </c>
      <c r="D252" s="2">
        <f>D251+1</f>
        <v>46363</v>
      </c>
      <c r="F252" s="4">
        <f t="shared" si="18"/>
        <v>36.738574356285802</v>
      </c>
      <c r="I252">
        <v>40</v>
      </c>
      <c r="J252" s="4">
        <f t="shared" si="19"/>
        <v>3.2614256437141975</v>
      </c>
      <c r="K252">
        <v>2000000</v>
      </c>
      <c r="L252">
        <v>0</v>
      </c>
      <c r="M252">
        <f t="shared" si="15"/>
        <v>0</v>
      </c>
      <c r="N252">
        <f t="shared" si="16"/>
        <v>0</v>
      </c>
      <c r="O252">
        <f t="shared" si="17"/>
        <v>0</v>
      </c>
    </row>
    <row r="253" spans="1:15" x14ac:dyDescent="0.3">
      <c r="A253">
        <v>235</v>
      </c>
      <c r="B253" s="4">
        <v>36.754243130504499</v>
      </c>
      <c r="C253" s="4">
        <v>36.765589757363401</v>
      </c>
      <c r="D253" s="2">
        <f>D252+1</f>
        <v>46364</v>
      </c>
      <c r="F253" s="4">
        <f t="shared" si="18"/>
        <v>36.754243130504499</v>
      </c>
      <c r="I253">
        <v>40</v>
      </c>
      <c r="J253" s="4">
        <f t="shared" si="19"/>
        <v>3.2457568694955015</v>
      </c>
      <c r="K253">
        <v>2000000</v>
      </c>
      <c r="L253">
        <v>0</v>
      </c>
      <c r="M253">
        <f t="shared" si="15"/>
        <v>0</v>
      </c>
      <c r="N253">
        <f t="shared" si="16"/>
        <v>0</v>
      </c>
      <c r="O253">
        <f t="shared" si="17"/>
        <v>0</v>
      </c>
    </row>
    <row r="254" spans="1:15" x14ac:dyDescent="0.3">
      <c r="A254">
        <v>236</v>
      </c>
      <c r="B254" s="4">
        <v>36.769976752825201</v>
      </c>
      <c r="C254" s="4">
        <v>36.783777336508102</v>
      </c>
      <c r="D254" s="2">
        <f>D253+1</f>
        <v>46365</v>
      </c>
      <c r="F254" s="4">
        <f t="shared" si="18"/>
        <v>36.769976752825201</v>
      </c>
      <c r="I254">
        <v>40</v>
      </c>
      <c r="J254" s="4">
        <f t="shared" si="19"/>
        <v>3.2300232471747989</v>
      </c>
      <c r="K254">
        <v>2000000</v>
      </c>
      <c r="L254">
        <v>0</v>
      </c>
      <c r="M254">
        <f t="shared" si="15"/>
        <v>0</v>
      </c>
      <c r="N254">
        <f t="shared" si="16"/>
        <v>0</v>
      </c>
      <c r="O254">
        <f t="shared" si="17"/>
        <v>0</v>
      </c>
    </row>
    <row r="255" spans="1:15" x14ac:dyDescent="0.3">
      <c r="A255">
        <v>237</v>
      </c>
      <c r="B255" s="4">
        <v>36.782765116115002</v>
      </c>
      <c r="C255" s="4">
        <v>36.804742032638401</v>
      </c>
      <c r="D255" s="2">
        <f>D254+1</f>
        <v>46366</v>
      </c>
      <c r="F255" s="4">
        <f t="shared" si="18"/>
        <v>36.782765116115002</v>
      </c>
      <c r="I255">
        <v>40</v>
      </c>
      <c r="J255" s="4">
        <f t="shared" si="19"/>
        <v>3.2172348838849985</v>
      </c>
      <c r="K255">
        <v>2000000</v>
      </c>
      <c r="L255">
        <v>0</v>
      </c>
      <c r="M255">
        <f t="shared" si="15"/>
        <v>0</v>
      </c>
      <c r="N255">
        <f t="shared" si="16"/>
        <v>0</v>
      </c>
      <c r="O255">
        <f t="shared" si="17"/>
        <v>0</v>
      </c>
    </row>
    <row r="256" spans="1:15" x14ac:dyDescent="0.3">
      <c r="A256">
        <v>238</v>
      </c>
      <c r="B256" s="4">
        <v>36.799298820728502</v>
      </c>
      <c r="C256" s="4">
        <v>36.8217906091446</v>
      </c>
      <c r="D256" s="2">
        <f>D255+1</f>
        <v>46367</v>
      </c>
      <c r="F256" s="4">
        <f t="shared" si="18"/>
        <v>36.799298820728502</v>
      </c>
      <c r="I256">
        <v>40</v>
      </c>
      <c r="J256" s="4">
        <f t="shared" si="19"/>
        <v>3.2007011792714977</v>
      </c>
      <c r="K256">
        <v>2000000</v>
      </c>
      <c r="L256">
        <v>0</v>
      </c>
      <c r="M256">
        <f t="shared" si="15"/>
        <v>0</v>
      </c>
      <c r="N256">
        <f t="shared" si="16"/>
        <v>0</v>
      </c>
      <c r="O256">
        <f t="shared" si="17"/>
        <v>0</v>
      </c>
    </row>
    <row r="257" spans="1:15" x14ac:dyDescent="0.3">
      <c r="A257">
        <v>239</v>
      </c>
      <c r="B257" s="4">
        <v>36.814021141490898</v>
      </c>
      <c r="C257" s="4">
        <v>36.840483550402098</v>
      </c>
      <c r="D257" s="2">
        <f>D256+1</f>
        <v>46368</v>
      </c>
      <c r="F257" s="4">
        <f t="shared" si="18"/>
        <v>36.814021141490898</v>
      </c>
      <c r="I257">
        <v>40</v>
      </c>
      <c r="J257" s="4">
        <f t="shared" si="19"/>
        <v>3.1859788585091025</v>
      </c>
      <c r="K257">
        <v>2000000</v>
      </c>
      <c r="L257">
        <v>0</v>
      </c>
      <c r="M257">
        <f t="shared" si="15"/>
        <v>0</v>
      </c>
      <c r="N257">
        <f t="shared" si="16"/>
        <v>0</v>
      </c>
      <c r="O257">
        <f t="shared" si="17"/>
        <v>0</v>
      </c>
    </row>
    <row r="258" spans="1:15" x14ac:dyDescent="0.3">
      <c r="A258">
        <v>240</v>
      </c>
      <c r="B258" s="4">
        <v>36.829693182575497</v>
      </c>
      <c r="C258" s="4">
        <v>36.858058735849497</v>
      </c>
      <c r="D258" s="2">
        <f>D257+1</f>
        <v>46369</v>
      </c>
      <c r="F258" s="4">
        <f t="shared" si="18"/>
        <v>36.829693182575497</v>
      </c>
      <c r="I258">
        <v>40</v>
      </c>
      <c r="J258" s="4">
        <f t="shared" si="19"/>
        <v>3.1703068174245033</v>
      </c>
      <c r="K258">
        <v>2000000</v>
      </c>
      <c r="L258">
        <v>0</v>
      </c>
      <c r="M258">
        <f t="shared" si="15"/>
        <v>0</v>
      </c>
      <c r="N258">
        <f t="shared" si="16"/>
        <v>0</v>
      </c>
      <c r="O258">
        <f t="shared" si="17"/>
        <v>0</v>
      </c>
    </row>
    <row r="259" spans="1:15" x14ac:dyDescent="0.3">
      <c r="A259">
        <v>241</v>
      </c>
      <c r="B259" s="4">
        <v>36.844618298411199</v>
      </c>
      <c r="C259" s="4">
        <v>36.876214785930003</v>
      </c>
      <c r="D259" s="2">
        <f>D258+1</f>
        <v>46370</v>
      </c>
      <c r="F259" s="4">
        <f t="shared" si="18"/>
        <v>36.844618298411199</v>
      </c>
      <c r="I259">
        <v>40</v>
      </c>
      <c r="J259" s="4">
        <f t="shared" si="19"/>
        <v>3.1553817015888015</v>
      </c>
      <c r="K259">
        <v>2000000</v>
      </c>
      <c r="L259">
        <v>0</v>
      </c>
      <c r="M259">
        <f t="shared" si="15"/>
        <v>0</v>
      </c>
      <c r="N259">
        <f t="shared" si="16"/>
        <v>0</v>
      </c>
      <c r="O259">
        <f t="shared" si="17"/>
        <v>0</v>
      </c>
    </row>
    <row r="260" spans="1:15" x14ac:dyDescent="0.3">
      <c r="A260">
        <v>242</v>
      </c>
      <c r="B260" s="4">
        <v>36.860973178654099</v>
      </c>
      <c r="C260" s="4">
        <v>36.892773933220198</v>
      </c>
      <c r="D260" s="2">
        <f>D259+1</f>
        <v>46371</v>
      </c>
      <c r="F260" s="4">
        <f t="shared" si="18"/>
        <v>36.860973178654099</v>
      </c>
      <c r="I260">
        <v>40</v>
      </c>
      <c r="J260" s="4">
        <f t="shared" si="19"/>
        <v>3.1390268213459009</v>
      </c>
      <c r="K260">
        <v>2000000</v>
      </c>
      <c r="L260">
        <v>0</v>
      </c>
      <c r="M260">
        <f t="shared" si="15"/>
        <v>0</v>
      </c>
      <c r="N260">
        <f t="shared" si="16"/>
        <v>0</v>
      </c>
      <c r="O260">
        <f t="shared" si="17"/>
        <v>0</v>
      </c>
    </row>
    <row r="261" spans="1:15" x14ac:dyDescent="0.3">
      <c r="A261">
        <v>243</v>
      </c>
      <c r="B261" s="4">
        <v>36.874045061724502</v>
      </c>
      <c r="C261" s="4">
        <v>36.912453974229102</v>
      </c>
      <c r="D261" s="2">
        <f>D260+1</f>
        <v>46372</v>
      </c>
      <c r="F261" s="4">
        <f t="shared" si="18"/>
        <v>36.874045061724502</v>
      </c>
      <c r="I261">
        <v>40</v>
      </c>
      <c r="J261" s="4">
        <f t="shared" si="19"/>
        <v>3.1259549382754983</v>
      </c>
      <c r="K261">
        <v>2000000</v>
      </c>
      <c r="L261">
        <v>0</v>
      </c>
      <c r="M261">
        <f t="shared" si="15"/>
        <v>0</v>
      </c>
      <c r="N261">
        <f t="shared" si="16"/>
        <v>0</v>
      </c>
      <c r="O261">
        <f t="shared" si="17"/>
        <v>0</v>
      </c>
    </row>
    <row r="262" spans="1:15" x14ac:dyDescent="0.3">
      <c r="A262">
        <v>244</v>
      </c>
      <c r="B262" s="4">
        <v>36.887609678342997</v>
      </c>
      <c r="C262" s="4">
        <v>36.931476768145203</v>
      </c>
      <c r="D262" s="2">
        <f>D261+1</f>
        <v>46373</v>
      </c>
      <c r="F262" s="4">
        <f t="shared" si="18"/>
        <v>36.887609678342997</v>
      </c>
      <c r="I262">
        <v>40</v>
      </c>
      <c r="J262" s="4">
        <f t="shared" si="19"/>
        <v>3.1123903216570028</v>
      </c>
      <c r="K262">
        <v>2000000</v>
      </c>
      <c r="L262">
        <v>0</v>
      </c>
      <c r="M262">
        <f t="shared" si="15"/>
        <v>0</v>
      </c>
      <c r="N262">
        <f t="shared" si="16"/>
        <v>0</v>
      </c>
      <c r="O262">
        <f t="shared" si="17"/>
        <v>0</v>
      </c>
    </row>
    <row r="263" spans="1:15" x14ac:dyDescent="0.3">
      <c r="A263">
        <v>245</v>
      </c>
      <c r="B263" s="4">
        <v>36.908030685944702</v>
      </c>
      <c r="C263" s="4">
        <v>36.943471940832701</v>
      </c>
      <c r="D263" s="2">
        <f>D262+1</f>
        <v>46374</v>
      </c>
      <c r="F263" s="4">
        <f t="shared" si="18"/>
        <v>36.908030685944702</v>
      </c>
      <c r="I263">
        <v>40</v>
      </c>
      <c r="J263" s="4">
        <f t="shared" si="19"/>
        <v>3.091969314055298</v>
      </c>
      <c r="K263">
        <v>2000000</v>
      </c>
      <c r="L263">
        <v>0</v>
      </c>
      <c r="M263">
        <f t="shared" si="15"/>
        <v>0</v>
      </c>
      <c r="N263">
        <f t="shared" si="16"/>
        <v>0</v>
      </c>
      <c r="O263">
        <f t="shared" si="17"/>
        <v>0</v>
      </c>
    </row>
    <row r="264" spans="1:15" x14ac:dyDescent="0.3">
      <c r="A264">
        <v>246</v>
      </c>
      <c r="B264" s="4">
        <v>36.921768130415202</v>
      </c>
      <c r="C264" s="4">
        <v>36.961994734808698</v>
      </c>
      <c r="D264" s="2">
        <f>D263+1</f>
        <v>46375</v>
      </c>
      <c r="F264" s="4">
        <f t="shared" si="18"/>
        <v>36.921768130415202</v>
      </c>
      <c r="I264">
        <v>40</v>
      </c>
      <c r="J264" s="4">
        <f t="shared" si="19"/>
        <v>3.0782318695847977</v>
      </c>
      <c r="K264">
        <v>2000000</v>
      </c>
      <c r="L264">
        <v>0</v>
      </c>
      <c r="M264">
        <f t="shared" si="15"/>
        <v>0</v>
      </c>
      <c r="N264">
        <f t="shared" si="16"/>
        <v>0</v>
      </c>
      <c r="O264">
        <f t="shared" si="17"/>
        <v>0</v>
      </c>
    </row>
    <row r="265" spans="1:15" x14ac:dyDescent="0.3">
      <c r="A265">
        <v>247</v>
      </c>
      <c r="B265" s="4">
        <v>36.935803055377399</v>
      </c>
      <c r="C265" s="4">
        <v>36.980057722141801</v>
      </c>
      <c r="D265" s="2">
        <f>D264+1</f>
        <v>46376</v>
      </c>
      <c r="F265" s="4">
        <f t="shared" si="18"/>
        <v>36.935803055377399</v>
      </c>
      <c r="I265">
        <v>40</v>
      </c>
      <c r="J265" s="4">
        <f t="shared" si="19"/>
        <v>3.0641969446226014</v>
      </c>
      <c r="K265">
        <v>2000000</v>
      </c>
      <c r="L265">
        <v>0</v>
      </c>
      <c r="M265">
        <f t="shared" si="15"/>
        <v>0</v>
      </c>
      <c r="N265">
        <f t="shared" si="16"/>
        <v>0</v>
      </c>
      <c r="O265">
        <f t="shared" si="17"/>
        <v>0</v>
      </c>
    </row>
    <row r="266" spans="1:15" x14ac:dyDescent="0.3">
      <c r="A266">
        <v>248</v>
      </c>
      <c r="B266" s="4">
        <v>36.955423517023398</v>
      </c>
      <c r="C266" s="4">
        <v>36.9923674189384</v>
      </c>
      <c r="D266" s="2">
        <f>D265+1</f>
        <v>46377</v>
      </c>
      <c r="F266" s="4">
        <f t="shared" si="18"/>
        <v>36.955423517023398</v>
      </c>
      <c r="I266">
        <v>40</v>
      </c>
      <c r="J266" s="4">
        <f t="shared" si="19"/>
        <v>3.044576482976602</v>
      </c>
      <c r="K266">
        <v>2000000</v>
      </c>
      <c r="L266">
        <v>0</v>
      </c>
      <c r="M266">
        <f t="shared" si="15"/>
        <v>0</v>
      </c>
      <c r="N266">
        <f t="shared" si="16"/>
        <v>0</v>
      </c>
      <c r="O266">
        <f t="shared" si="17"/>
        <v>0</v>
      </c>
    </row>
    <row r="267" spans="1:15" x14ac:dyDescent="0.3">
      <c r="A267">
        <v>249</v>
      </c>
      <c r="B267" s="4">
        <v>36.977008137374099</v>
      </c>
      <c r="C267" s="4">
        <v>37.002551457498498</v>
      </c>
      <c r="D267" s="2">
        <f>D266+1</f>
        <v>46378</v>
      </c>
      <c r="F267" s="4">
        <f t="shared" si="18"/>
        <v>36.977008137374099</v>
      </c>
      <c r="I267">
        <v>40</v>
      </c>
      <c r="J267" s="4">
        <f t="shared" si="19"/>
        <v>3.0229918626259007</v>
      </c>
      <c r="K267">
        <v>2000000</v>
      </c>
      <c r="L267">
        <v>0</v>
      </c>
      <c r="M267">
        <f t="shared" si="15"/>
        <v>0</v>
      </c>
      <c r="N267">
        <f t="shared" si="16"/>
        <v>0</v>
      </c>
      <c r="O267">
        <f t="shared" si="17"/>
        <v>0</v>
      </c>
    </row>
    <row r="268" spans="1:15" x14ac:dyDescent="0.3">
      <c r="A268">
        <v>250</v>
      </c>
      <c r="B268" s="4">
        <v>36.990617725545803</v>
      </c>
      <c r="C268" s="4">
        <v>37.020557026832797</v>
      </c>
      <c r="D268" s="2">
        <f>D267+1</f>
        <v>46379</v>
      </c>
      <c r="F268" s="4">
        <f t="shared" si="18"/>
        <v>36.990617725545803</v>
      </c>
      <c r="I268">
        <v>40</v>
      </c>
      <c r="J268" s="4">
        <f t="shared" si="19"/>
        <v>3.0093822744541967</v>
      </c>
      <c r="K268">
        <v>2000000</v>
      </c>
      <c r="L268">
        <v>0</v>
      </c>
      <c r="M268">
        <f t="shared" si="15"/>
        <v>0</v>
      </c>
      <c r="N268">
        <f t="shared" si="16"/>
        <v>0</v>
      </c>
      <c r="O268">
        <f t="shared" si="17"/>
        <v>0</v>
      </c>
    </row>
    <row r="269" spans="1:15" x14ac:dyDescent="0.3">
      <c r="A269">
        <v>251</v>
      </c>
      <c r="B269" s="4">
        <v>37.005709149501598</v>
      </c>
      <c r="C269" s="4">
        <v>37.036920402990503</v>
      </c>
      <c r="D269" s="2">
        <f>D268+1</f>
        <v>46380</v>
      </c>
      <c r="F269" s="4">
        <f t="shared" si="18"/>
        <v>37.005709149501598</v>
      </c>
      <c r="I269">
        <v>40</v>
      </c>
      <c r="J269" s="4">
        <f t="shared" si="19"/>
        <v>2.9942908504984018</v>
      </c>
      <c r="K269">
        <v>2000000</v>
      </c>
      <c r="L269">
        <v>0</v>
      </c>
      <c r="M269">
        <f t="shared" si="15"/>
        <v>0</v>
      </c>
      <c r="N269">
        <f t="shared" si="16"/>
        <v>0</v>
      </c>
      <c r="O269">
        <f t="shared" si="17"/>
        <v>0</v>
      </c>
    </row>
    <row r="270" spans="1:15" x14ac:dyDescent="0.3">
      <c r="A270">
        <v>252</v>
      </c>
      <c r="B270" s="4">
        <v>37.022095494565903</v>
      </c>
      <c r="C270" s="4">
        <v>37.051829219782</v>
      </c>
      <c r="D270" s="2">
        <f>D269+1</f>
        <v>46381</v>
      </c>
      <c r="F270" s="4">
        <f t="shared" si="18"/>
        <v>37.022095494565903</v>
      </c>
      <c r="I270">
        <v>40</v>
      </c>
      <c r="J270" s="4">
        <f t="shared" si="19"/>
        <v>2.9779045054340969</v>
      </c>
      <c r="K270">
        <v>2000000</v>
      </c>
      <c r="L270">
        <v>0</v>
      </c>
      <c r="M270">
        <f t="shared" si="15"/>
        <v>0</v>
      </c>
      <c r="N270">
        <f t="shared" si="16"/>
        <v>0</v>
      </c>
      <c r="O270">
        <f t="shared" si="17"/>
        <v>0</v>
      </c>
    </row>
    <row r="271" spans="1:15" x14ac:dyDescent="0.3">
      <c r="A271">
        <v>253</v>
      </c>
      <c r="B271" s="4">
        <v>37.041080610342298</v>
      </c>
      <c r="C271" s="4">
        <v>37.063979668517099</v>
      </c>
      <c r="D271" s="2">
        <f>D270+1</f>
        <v>46382</v>
      </c>
      <c r="F271" s="4">
        <f t="shared" si="18"/>
        <v>37.041080610342298</v>
      </c>
      <c r="I271">
        <v>40</v>
      </c>
      <c r="J271" s="4">
        <f t="shared" si="19"/>
        <v>2.9589193896577015</v>
      </c>
      <c r="K271">
        <v>2000000</v>
      </c>
      <c r="L271">
        <v>0</v>
      </c>
      <c r="M271">
        <f t="shared" si="15"/>
        <v>0</v>
      </c>
      <c r="N271">
        <f t="shared" si="16"/>
        <v>0</v>
      </c>
      <c r="O271">
        <f t="shared" si="17"/>
        <v>0</v>
      </c>
    </row>
    <row r="272" spans="1:15" x14ac:dyDescent="0.3">
      <c r="A272">
        <v>254</v>
      </c>
      <c r="B272" s="4">
        <v>37.054720615209497</v>
      </c>
      <c r="C272" s="4">
        <v>37.081321838145598</v>
      </c>
      <c r="D272" s="2">
        <f>D271+1</f>
        <v>46383</v>
      </c>
      <c r="F272" s="4">
        <f t="shared" si="18"/>
        <v>37.054720615209497</v>
      </c>
      <c r="I272">
        <v>40</v>
      </c>
      <c r="J272" s="4">
        <f t="shared" si="19"/>
        <v>2.9452793847905028</v>
      </c>
      <c r="K272">
        <v>2000000</v>
      </c>
      <c r="L272">
        <v>0</v>
      </c>
      <c r="M272">
        <f t="shared" si="15"/>
        <v>0</v>
      </c>
      <c r="N272">
        <f t="shared" si="16"/>
        <v>0</v>
      </c>
      <c r="O272">
        <f t="shared" si="17"/>
        <v>0</v>
      </c>
    </row>
    <row r="273" spans="1:15" x14ac:dyDescent="0.3">
      <c r="A273">
        <v>255</v>
      </c>
      <c r="B273" s="4">
        <v>37.069725567488497</v>
      </c>
      <c r="C273" s="4">
        <v>37.097141788141499</v>
      </c>
      <c r="D273" s="2">
        <f>D272+1</f>
        <v>46384</v>
      </c>
      <c r="F273" s="4">
        <f t="shared" si="18"/>
        <v>37.069725567488497</v>
      </c>
      <c r="I273">
        <v>40</v>
      </c>
      <c r="J273" s="4">
        <f t="shared" si="19"/>
        <v>2.9302744325115029</v>
      </c>
      <c r="K273">
        <v>2000000</v>
      </c>
      <c r="L273">
        <v>0</v>
      </c>
      <c r="M273">
        <f t="shared" si="15"/>
        <v>0</v>
      </c>
      <c r="N273">
        <f t="shared" si="16"/>
        <v>0</v>
      </c>
      <c r="O273">
        <f t="shared" si="17"/>
        <v>0</v>
      </c>
    </row>
    <row r="274" spans="1:15" x14ac:dyDescent="0.3">
      <c r="A274">
        <v>256</v>
      </c>
      <c r="B274" s="4">
        <v>37.086633559376601</v>
      </c>
      <c r="C274" s="4">
        <v>37.1109016916919</v>
      </c>
      <c r="D274" s="2">
        <f>D273+1</f>
        <v>46385</v>
      </c>
      <c r="F274" s="4">
        <f t="shared" si="18"/>
        <v>37.086633559376601</v>
      </c>
      <c r="I274">
        <v>40</v>
      </c>
      <c r="J274" s="4">
        <f t="shared" si="19"/>
        <v>2.913366440623399</v>
      </c>
      <c r="K274">
        <v>2000000</v>
      </c>
      <c r="L274">
        <v>0</v>
      </c>
      <c r="M274">
        <f t="shared" si="15"/>
        <v>0</v>
      </c>
      <c r="N274">
        <f t="shared" si="16"/>
        <v>0</v>
      </c>
      <c r="O274">
        <f t="shared" si="17"/>
        <v>0</v>
      </c>
    </row>
    <row r="275" spans="1:15" x14ac:dyDescent="0.3">
      <c r="A275">
        <v>257</v>
      </c>
      <c r="B275" s="4">
        <v>37.102793617916703</v>
      </c>
      <c r="C275" s="4">
        <v>37.125255159858199</v>
      </c>
      <c r="D275" s="2">
        <f>D274+1</f>
        <v>46386</v>
      </c>
      <c r="F275" s="4">
        <f t="shared" si="18"/>
        <v>37.102793617916703</v>
      </c>
      <c r="I275">
        <v>40</v>
      </c>
      <c r="J275" s="4">
        <f t="shared" si="19"/>
        <v>2.8972063820832972</v>
      </c>
      <c r="K275">
        <v>2000000</v>
      </c>
      <c r="L275">
        <v>0</v>
      </c>
      <c r="M275">
        <f t="shared" ref="M275:M338" si="20">IF(L275&gt;0,-(F275+$C$6)*L275,0)</f>
        <v>0</v>
      </c>
      <c r="N275">
        <f t="shared" ref="N275:N338" si="21">IF(L275&lt;0,ABS(L275)*(F275-$C$7),0)</f>
        <v>0</v>
      </c>
      <c r="O275">
        <f t="shared" ref="O275:O338" si="22">SUM(M275:N275)</f>
        <v>0</v>
      </c>
    </row>
    <row r="276" spans="1:15" x14ac:dyDescent="0.3">
      <c r="A276">
        <v>258</v>
      </c>
      <c r="B276" s="4">
        <v>37.117301756395797</v>
      </c>
      <c r="C276" s="4">
        <v>37.141107352692799</v>
      </c>
      <c r="D276" s="2">
        <f>D275+1</f>
        <v>46387</v>
      </c>
      <c r="F276" s="4">
        <f t="shared" ref="F276:F339" si="23">B276</f>
        <v>37.117301756395797</v>
      </c>
      <c r="I276">
        <v>40</v>
      </c>
      <c r="J276" s="4">
        <f t="shared" ref="J276:J339" si="24">I276-F276</f>
        <v>2.882698243604203</v>
      </c>
      <c r="K276">
        <v>2000000</v>
      </c>
      <c r="L276">
        <v>0</v>
      </c>
      <c r="M276">
        <f t="shared" si="20"/>
        <v>0</v>
      </c>
      <c r="N276">
        <f t="shared" si="21"/>
        <v>0</v>
      </c>
      <c r="O276">
        <f t="shared" si="22"/>
        <v>0</v>
      </c>
    </row>
    <row r="277" spans="1:15" x14ac:dyDescent="0.3">
      <c r="A277">
        <v>259</v>
      </c>
      <c r="B277" s="4">
        <v>37.132205841917603</v>
      </c>
      <c r="C277" s="4">
        <v>37.156409836764198</v>
      </c>
      <c r="D277" s="2">
        <f>D276+1</f>
        <v>46388</v>
      </c>
      <c r="F277" s="4">
        <f t="shared" si="23"/>
        <v>37.132205841917603</v>
      </c>
      <c r="I277">
        <v>40</v>
      </c>
      <c r="J277" s="4">
        <f t="shared" si="24"/>
        <v>2.8677941580823969</v>
      </c>
      <c r="K277">
        <v>2000000</v>
      </c>
      <c r="L277">
        <v>0</v>
      </c>
      <c r="M277">
        <f t="shared" si="20"/>
        <v>0</v>
      </c>
      <c r="N277">
        <f t="shared" si="21"/>
        <v>0</v>
      </c>
      <c r="O277">
        <f t="shared" si="22"/>
        <v>0</v>
      </c>
    </row>
    <row r="278" spans="1:15" x14ac:dyDescent="0.3">
      <c r="A278">
        <v>260</v>
      </c>
      <c r="B278" s="4">
        <v>37.144628870904398</v>
      </c>
      <c r="C278" s="4">
        <v>37.174042365100703</v>
      </c>
      <c r="D278" s="2">
        <f>D277+1</f>
        <v>46389</v>
      </c>
      <c r="F278" s="4">
        <f t="shared" si="23"/>
        <v>37.144628870904398</v>
      </c>
      <c r="I278">
        <v>40</v>
      </c>
      <c r="J278" s="4">
        <f t="shared" si="24"/>
        <v>2.8553711290956016</v>
      </c>
      <c r="K278">
        <v>2000000</v>
      </c>
      <c r="L278">
        <v>0</v>
      </c>
      <c r="M278">
        <f t="shared" si="20"/>
        <v>0</v>
      </c>
      <c r="N278">
        <f t="shared" si="21"/>
        <v>0</v>
      </c>
      <c r="O278">
        <f t="shared" si="22"/>
        <v>0</v>
      </c>
    </row>
    <row r="279" spans="1:15" x14ac:dyDescent="0.3">
      <c r="A279">
        <v>261</v>
      </c>
      <c r="B279" s="4">
        <v>37.159192249379203</v>
      </c>
      <c r="C279" s="4">
        <v>37.189380918348803</v>
      </c>
      <c r="D279" s="2">
        <f>D278+1</f>
        <v>46390</v>
      </c>
      <c r="F279" s="4">
        <f t="shared" si="23"/>
        <v>37.159192249379203</v>
      </c>
      <c r="I279">
        <v>40</v>
      </c>
      <c r="J279" s="4">
        <f t="shared" si="24"/>
        <v>2.8408077506207974</v>
      </c>
      <c r="K279">
        <v>2000000</v>
      </c>
      <c r="L279">
        <v>0</v>
      </c>
      <c r="M279">
        <f t="shared" si="20"/>
        <v>0</v>
      </c>
      <c r="N279">
        <f t="shared" si="21"/>
        <v>0</v>
      </c>
      <c r="O279">
        <f t="shared" si="22"/>
        <v>0</v>
      </c>
    </row>
    <row r="280" spans="1:15" x14ac:dyDescent="0.3">
      <c r="A280">
        <v>262</v>
      </c>
      <c r="B280" s="4">
        <v>37.1736270358534</v>
      </c>
      <c r="C280" s="4">
        <v>37.204696763034299</v>
      </c>
      <c r="D280" s="2">
        <f>D279+1</f>
        <v>46391</v>
      </c>
      <c r="F280" s="4">
        <f t="shared" si="23"/>
        <v>37.1736270358534</v>
      </c>
      <c r="I280">
        <v>40</v>
      </c>
      <c r="J280" s="4">
        <f t="shared" si="24"/>
        <v>2.8263729641466</v>
      </c>
      <c r="K280">
        <v>2000000</v>
      </c>
      <c r="L280">
        <v>0</v>
      </c>
      <c r="M280">
        <f t="shared" si="20"/>
        <v>0</v>
      </c>
      <c r="N280">
        <f t="shared" si="21"/>
        <v>0</v>
      </c>
      <c r="O280">
        <f t="shared" si="22"/>
        <v>0</v>
      </c>
    </row>
    <row r="281" spans="1:15" x14ac:dyDescent="0.3">
      <c r="A281">
        <v>263</v>
      </c>
      <c r="B281" s="4">
        <v>37.188956035712899</v>
      </c>
      <c r="C281" s="4">
        <v>37.218966945490401</v>
      </c>
      <c r="D281" s="2">
        <f>D280+1</f>
        <v>46392</v>
      </c>
      <c r="F281" s="4">
        <f t="shared" si="23"/>
        <v>37.188956035712899</v>
      </c>
      <c r="I281">
        <v>40</v>
      </c>
      <c r="J281" s="4">
        <f t="shared" si="24"/>
        <v>2.8110439642871015</v>
      </c>
      <c r="K281">
        <v>2000000</v>
      </c>
      <c r="L281">
        <v>0</v>
      </c>
      <c r="M281">
        <f t="shared" si="20"/>
        <v>0</v>
      </c>
      <c r="N281">
        <f t="shared" si="21"/>
        <v>0</v>
      </c>
      <c r="O281">
        <f t="shared" si="22"/>
        <v>0</v>
      </c>
    </row>
    <row r="282" spans="1:15" x14ac:dyDescent="0.3">
      <c r="A282">
        <v>264</v>
      </c>
      <c r="B282" s="4">
        <v>37.202678803086798</v>
      </c>
      <c r="C282" s="4">
        <v>37.234694677958402</v>
      </c>
      <c r="D282" s="2">
        <f>D281+1</f>
        <v>46393</v>
      </c>
      <c r="F282" s="4">
        <f t="shared" si="23"/>
        <v>37.202678803086798</v>
      </c>
      <c r="I282">
        <v>40</v>
      </c>
      <c r="J282" s="4">
        <f t="shared" si="24"/>
        <v>2.7973211969132024</v>
      </c>
      <c r="K282">
        <v>2000000</v>
      </c>
      <c r="L282">
        <v>0</v>
      </c>
      <c r="M282">
        <f t="shared" si="20"/>
        <v>0</v>
      </c>
      <c r="N282">
        <f t="shared" si="21"/>
        <v>0</v>
      </c>
      <c r="O282">
        <f t="shared" si="22"/>
        <v>0</v>
      </c>
    </row>
    <row r="283" spans="1:15" x14ac:dyDescent="0.3">
      <c r="A283">
        <v>265</v>
      </c>
      <c r="B283" s="4">
        <v>37.218325888907501</v>
      </c>
      <c r="C283" s="4">
        <v>37.248347169073199</v>
      </c>
      <c r="D283" s="2">
        <f>D282+1</f>
        <v>46394</v>
      </c>
      <c r="F283" s="4">
        <f t="shared" si="23"/>
        <v>37.218325888907501</v>
      </c>
      <c r="I283">
        <v>40</v>
      </c>
      <c r="J283" s="4">
        <f t="shared" si="24"/>
        <v>2.7816741110924994</v>
      </c>
      <c r="K283">
        <v>2000000</v>
      </c>
      <c r="L283">
        <v>0</v>
      </c>
      <c r="M283">
        <f t="shared" si="20"/>
        <v>0</v>
      </c>
      <c r="N283">
        <f t="shared" si="21"/>
        <v>0</v>
      </c>
      <c r="O283">
        <f t="shared" si="22"/>
        <v>0</v>
      </c>
    </row>
    <row r="284" spans="1:15" x14ac:dyDescent="0.3">
      <c r="A284">
        <v>266</v>
      </c>
      <c r="B284" s="4">
        <v>37.234945537501098</v>
      </c>
      <c r="C284" s="4">
        <v>37.260877830202901</v>
      </c>
      <c r="D284" s="2">
        <f>D283+1</f>
        <v>46395</v>
      </c>
      <c r="F284" s="4">
        <f t="shared" si="23"/>
        <v>37.234945537501098</v>
      </c>
      <c r="I284">
        <v>40</v>
      </c>
      <c r="J284" s="4">
        <f t="shared" si="24"/>
        <v>2.7650544624989024</v>
      </c>
      <c r="K284">
        <v>2000000</v>
      </c>
      <c r="L284">
        <v>0</v>
      </c>
      <c r="M284">
        <f t="shared" si="20"/>
        <v>0</v>
      </c>
      <c r="N284">
        <f t="shared" si="21"/>
        <v>0</v>
      </c>
      <c r="O284">
        <f t="shared" si="22"/>
        <v>0</v>
      </c>
    </row>
    <row r="285" spans="1:15" x14ac:dyDescent="0.3">
      <c r="A285">
        <v>267</v>
      </c>
      <c r="B285" s="4">
        <v>37.249815400881197</v>
      </c>
      <c r="C285" s="4">
        <v>37.275011688623998</v>
      </c>
      <c r="D285" s="2">
        <f>D284+1</f>
        <v>46396</v>
      </c>
      <c r="F285" s="4">
        <f t="shared" si="23"/>
        <v>37.249815400881197</v>
      </c>
      <c r="I285">
        <v>40</v>
      </c>
      <c r="J285" s="4">
        <f t="shared" si="24"/>
        <v>2.7501845991188034</v>
      </c>
      <c r="K285">
        <v>2000000</v>
      </c>
      <c r="L285">
        <v>0</v>
      </c>
      <c r="M285">
        <f t="shared" si="20"/>
        <v>0</v>
      </c>
      <c r="N285">
        <f t="shared" si="21"/>
        <v>0</v>
      </c>
      <c r="O285">
        <f t="shared" si="22"/>
        <v>0</v>
      </c>
    </row>
    <row r="286" spans="1:15" x14ac:dyDescent="0.3">
      <c r="A286">
        <v>268</v>
      </c>
      <c r="B286" s="4">
        <v>37.264991718464103</v>
      </c>
      <c r="C286" s="4">
        <v>37.288691671626502</v>
      </c>
      <c r="D286" s="2">
        <f>D285+1</f>
        <v>46397</v>
      </c>
      <c r="F286" s="4">
        <f t="shared" si="23"/>
        <v>37.264991718464103</v>
      </c>
      <c r="I286">
        <v>40</v>
      </c>
      <c r="J286" s="4">
        <f t="shared" si="24"/>
        <v>2.7350082815358974</v>
      </c>
      <c r="K286">
        <v>2000000</v>
      </c>
      <c r="L286">
        <v>0</v>
      </c>
      <c r="M286">
        <f t="shared" si="20"/>
        <v>0</v>
      </c>
      <c r="N286">
        <f t="shared" si="21"/>
        <v>0</v>
      </c>
      <c r="O286">
        <f t="shared" si="22"/>
        <v>0</v>
      </c>
    </row>
    <row r="287" spans="1:15" x14ac:dyDescent="0.3">
      <c r="A287">
        <v>269</v>
      </c>
      <c r="B287" s="4">
        <v>37.279510420831201</v>
      </c>
      <c r="C287" s="4">
        <v>37.302883160393598</v>
      </c>
      <c r="D287" s="2">
        <f>D286+1</f>
        <v>46398</v>
      </c>
      <c r="F287" s="4">
        <f t="shared" si="23"/>
        <v>37.279510420831201</v>
      </c>
      <c r="I287">
        <v>40</v>
      </c>
      <c r="J287" s="4">
        <f t="shared" si="24"/>
        <v>2.7204895791687989</v>
      </c>
      <c r="K287">
        <v>2000000</v>
      </c>
      <c r="L287">
        <v>0</v>
      </c>
      <c r="M287">
        <f t="shared" si="20"/>
        <v>0</v>
      </c>
      <c r="N287">
        <f t="shared" si="21"/>
        <v>0</v>
      </c>
      <c r="O287">
        <f t="shared" si="22"/>
        <v>0</v>
      </c>
    </row>
    <row r="288" spans="1:15" x14ac:dyDescent="0.3">
      <c r="A288">
        <v>270</v>
      </c>
      <c r="B288" s="4">
        <v>37.2938521717954</v>
      </c>
      <c r="C288" s="4">
        <v>37.317105853092698</v>
      </c>
      <c r="D288" s="2">
        <f>D287+1</f>
        <v>46399</v>
      </c>
      <c r="F288" s="4">
        <f t="shared" si="23"/>
        <v>37.2938521717954</v>
      </c>
      <c r="I288">
        <v>40</v>
      </c>
      <c r="J288" s="4">
        <f t="shared" si="24"/>
        <v>2.7061478282045996</v>
      </c>
      <c r="K288">
        <v>2000000</v>
      </c>
      <c r="L288">
        <v>0</v>
      </c>
      <c r="M288">
        <f t="shared" si="20"/>
        <v>0</v>
      </c>
      <c r="N288">
        <f t="shared" si="21"/>
        <v>0</v>
      </c>
      <c r="O288">
        <f t="shared" si="22"/>
        <v>0</v>
      </c>
    </row>
    <row r="289" spans="1:15" x14ac:dyDescent="0.3">
      <c r="A289">
        <v>271</v>
      </c>
      <c r="B289" s="4">
        <v>37.306716214783698</v>
      </c>
      <c r="C289" s="4">
        <v>37.3326620456642</v>
      </c>
      <c r="D289" s="2">
        <f>D288+1</f>
        <v>46400</v>
      </c>
      <c r="F289" s="4">
        <f t="shared" si="23"/>
        <v>37.306716214783698</v>
      </c>
      <c r="I289">
        <v>40</v>
      </c>
      <c r="J289" s="4">
        <f t="shared" si="24"/>
        <v>2.6932837852163019</v>
      </c>
      <c r="K289">
        <v>2000000</v>
      </c>
      <c r="L289">
        <v>0</v>
      </c>
      <c r="M289">
        <f t="shared" si="20"/>
        <v>0</v>
      </c>
      <c r="N289">
        <f t="shared" si="21"/>
        <v>0</v>
      </c>
      <c r="O289">
        <f t="shared" si="22"/>
        <v>0</v>
      </c>
    </row>
    <row r="290" spans="1:15" x14ac:dyDescent="0.3">
      <c r="A290">
        <v>272</v>
      </c>
      <c r="B290" s="4">
        <v>37.321535958973101</v>
      </c>
      <c r="C290" s="4">
        <v>37.3461167333951</v>
      </c>
      <c r="D290" s="2">
        <f>D289+1</f>
        <v>46401</v>
      </c>
      <c r="F290" s="4">
        <f t="shared" si="23"/>
        <v>37.321535958973101</v>
      </c>
      <c r="I290">
        <v>40</v>
      </c>
      <c r="J290" s="4">
        <f t="shared" si="24"/>
        <v>2.6784640410268992</v>
      </c>
      <c r="K290">
        <v>2000000</v>
      </c>
      <c r="L290">
        <v>0</v>
      </c>
      <c r="M290">
        <f t="shared" si="20"/>
        <v>0</v>
      </c>
      <c r="N290">
        <f t="shared" si="21"/>
        <v>0</v>
      </c>
      <c r="O290">
        <f t="shared" si="22"/>
        <v>0</v>
      </c>
    </row>
    <row r="291" spans="1:15" x14ac:dyDescent="0.3">
      <c r="A291">
        <v>273</v>
      </c>
      <c r="B291" s="4">
        <v>37.335474469305602</v>
      </c>
      <c r="C291" s="4">
        <v>37.360309422842498</v>
      </c>
      <c r="D291" s="2">
        <f>D290+1</f>
        <v>46402</v>
      </c>
      <c r="F291" s="4">
        <f t="shared" si="23"/>
        <v>37.335474469305602</v>
      </c>
      <c r="I291">
        <v>40</v>
      </c>
      <c r="J291" s="4">
        <f t="shared" si="24"/>
        <v>2.664525530694398</v>
      </c>
      <c r="K291">
        <v>2000000</v>
      </c>
      <c r="L291">
        <v>0</v>
      </c>
      <c r="M291">
        <f t="shared" si="20"/>
        <v>0</v>
      </c>
      <c r="N291">
        <f t="shared" si="21"/>
        <v>0</v>
      </c>
      <c r="O291">
        <f t="shared" si="22"/>
        <v>0</v>
      </c>
    </row>
    <row r="292" spans="1:15" x14ac:dyDescent="0.3">
      <c r="A292">
        <v>274</v>
      </c>
      <c r="B292" s="4">
        <v>37.353611351349301</v>
      </c>
      <c r="C292" s="4">
        <v>37.370158256654598</v>
      </c>
      <c r="D292" s="2">
        <f>D291+1</f>
        <v>46403</v>
      </c>
      <c r="F292" s="4">
        <f t="shared" si="23"/>
        <v>37.353611351349301</v>
      </c>
      <c r="I292">
        <v>40</v>
      </c>
      <c r="J292" s="4">
        <f t="shared" si="24"/>
        <v>2.6463886486506993</v>
      </c>
      <c r="K292">
        <v>2000000</v>
      </c>
      <c r="L292">
        <v>0</v>
      </c>
      <c r="M292">
        <f t="shared" si="20"/>
        <v>0</v>
      </c>
      <c r="N292">
        <f t="shared" si="21"/>
        <v>0</v>
      </c>
      <c r="O292">
        <f t="shared" si="22"/>
        <v>0</v>
      </c>
    </row>
    <row r="293" spans="1:15" x14ac:dyDescent="0.3">
      <c r="A293">
        <v>275</v>
      </c>
      <c r="B293" s="4">
        <v>37.370644251133101</v>
      </c>
      <c r="C293" s="4">
        <v>37.380969816277101</v>
      </c>
      <c r="D293" s="2">
        <f>D292+1</f>
        <v>46404</v>
      </c>
      <c r="F293" s="4">
        <f t="shared" si="23"/>
        <v>37.370644251133101</v>
      </c>
      <c r="I293">
        <v>40</v>
      </c>
      <c r="J293" s="4">
        <f t="shared" si="24"/>
        <v>2.6293557488668995</v>
      </c>
      <c r="K293">
        <v>2000000</v>
      </c>
      <c r="L293">
        <v>0</v>
      </c>
      <c r="M293">
        <f t="shared" si="20"/>
        <v>0</v>
      </c>
      <c r="N293">
        <f t="shared" si="21"/>
        <v>0</v>
      </c>
      <c r="O293">
        <f t="shared" si="22"/>
        <v>0</v>
      </c>
    </row>
    <row r="294" spans="1:15" x14ac:dyDescent="0.3">
      <c r="A294">
        <v>276</v>
      </c>
      <c r="B294" s="4">
        <v>37.3852751535305</v>
      </c>
      <c r="C294" s="4">
        <v>37.3940425273709</v>
      </c>
      <c r="D294" s="2">
        <f>D293+1</f>
        <v>46405</v>
      </c>
      <c r="F294" s="4">
        <f t="shared" si="23"/>
        <v>37.3852751535305</v>
      </c>
      <c r="I294">
        <v>40</v>
      </c>
      <c r="J294" s="4">
        <f t="shared" si="24"/>
        <v>2.6147248464694997</v>
      </c>
      <c r="K294">
        <v>2000000</v>
      </c>
      <c r="L294">
        <v>0</v>
      </c>
      <c r="M294">
        <f t="shared" si="20"/>
        <v>0</v>
      </c>
      <c r="N294">
        <f t="shared" si="21"/>
        <v>0</v>
      </c>
      <c r="O294">
        <f t="shared" si="22"/>
        <v>0</v>
      </c>
    </row>
    <row r="295" spans="1:15" x14ac:dyDescent="0.3">
      <c r="A295">
        <v>277</v>
      </c>
      <c r="B295" s="4">
        <v>37.397589730107399</v>
      </c>
      <c r="C295" s="4">
        <v>37.409291064834797</v>
      </c>
      <c r="D295" s="2">
        <f>D294+1</f>
        <v>46406</v>
      </c>
      <c r="F295" s="4">
        <f t="shared" si="23"/>
        <v>37.397589730107399</v>
      </c>
      <c r="I295">
        <v>40</v>
      </c>
      <c r="J295" s="4">
        <f t="shared" si="24"/>
        <v>2.6024102698926015</v>
      </c>
      <c r="K295">
        <v>2000000</v>
      </c>
      <c r="L295">
        <v>0</v>
      </c>
      <c r="M295">
        <f t="shared" si="20"/>
        <v>0</v>
      </c>
      <c r="N295">
        <f t="shared" si="21"/>
        <v>0</v>
      </c>
      <c r="O295">
        <f t="shared" si="22"/>
        <v>0</v>
      </c>
    </row>
    <row r="296" spans="1:15" x14ac:dyDescent="0.3">
      <c r="A296">
        <v>278</v>
      </c>
      <c r="B296" s="4">
        <v>37.409159113823598</v>
      </c>
      <c r="C296" s="4">
        <v>37.425144749628402</v>
      </c>
      <c r="D296" s="2">
        <f>D295+1</f>
        <v>46407</v>
      </c>
      <c r="F296" s="4">
        <f t="shared" si="23"/>
        <v>37.409159113823598</v>
      </c>
      <c r="I296">
        <v>40</v>
      </c>
      <c r="J296" s="4">
        <f t="shared" si="24"/>
        <v>2.5908408861764016</v>
      </c>
      <c r="K296">
        <v>2000000</v>
      </c>
      <c r="L296">
        <v>0</v>
      </c>
      <c r="M296">
        <f t="shared" si="20"/>
        <v>0</v>
      </c>
      <c r="N296">
        <f t="shared" si="21"/>
        <v>0</v>
      </c>
      <c r="O296">
        <f t="shared" si="22"/>
        <v>0</v>
      </c>
    </row>
    <row r="297" spans="1:15" x14ac:dyDescent="0.3">
      <c r="A297">
        <v>279</v>
      </c>
      <c r="B297" s="4">
        <v>37.425167218187099</v>
      </c>
      <c r="C297" s="4">
        <v>37.436418283916801</v>
      </c>
      <c r="D297" s="2">
        <f>D296+1</f>
        <v>46408</v>
      </c>
      <c r="F297" s="4">
        <f t="shared" si="23"/>
        <v>37.425167218187099</v>
      </c>
      <c r="I297">
        <v>40</v>
      </c>
      <c r="J297" s="4">
        <f t="shared" si="24"/>
        <v>2.5748327818129013</v>
      </c>
      <c r="K297">
        <v>2000000</v>
      </c>
      <c r="L297">
        <v>0</v>
      </c>
      <c r="M297">
        <f t="shared" si="20"/>
        <v>0</v>
      </c>
      <c r="N297">
        <f t="shared" si="21"/>
        <v>0</v>
      </c>
      <c r="O297">
        <f t="shared" si="22"/>
        <v>0</v>
      </c>
    </row>
    <row r="298" spans="1:15" x14ac:dyDescent="0.3">
      <c r="A298">
        <v>280</v>
      </c>
      <c r="B298" s="4">
        <v>37.439280910026703</v>
      </c>
      <c r="C298" s="4">
        <v>37.449447819836898</v>
      </c>
      <c r="D298" s="2">
        <f>D297+1</f>
        <v>46409</v>
      </c>
      <c r="F298" s="4">
        <f t="shared" si="23"/>
        <v>37.439280910026703</v>
      </c>
      <c r="I298">
        <v>40</v>
      </c>
      <c r="J298" s="4">
        <f t="shared" si="24"/>
        <v>2.560719089973297</v>
      </c>
      <c r="K298">
        <v>2000000</v>
      </c>
      <c r="L298">
        <v>0</v>
      </c>
      <c r="M298">
        <f t="shared" si="20"/>
        <v>0</v>
      </c>
      <c r="N298">
        <f t="shared" si="21"/>
        <v>0</v>
      </c>
      <c r="O298">
        <f t="shared" si="22"/>
        <v>0</v>
      </c>
    </row>
    <row r="299" spans="1:15" x14ac:dyDescent="0.3">
      <c r="A299">
        <v>281</v>
      </c>
      <c r="B299" s="4">
        <v>37.453747681269199</v>
      </c>
      <c r="C299" s="4">
        <v>37.461985732824203</v>
      </c>
      <c r="D299" s="2">
        <f>D298+1</f>
        <v>46410</v>
      </c>
      <c r="F299" s="4">
        <f t="shared" si="23"/>
        <v>37.453747681269199</v>
      </c>
      <c r="I299">
        <v>40</v>
      </c>
      <c r="J299" s="4">
        <f t="shared" si="24"/>
        <v>2.5462523187308008</v>
      </c>
      <c r="K299">
        <v>2000000</v>
      </c>
      <c r="L299">
        <v>0</v>
      </c>
      <c r="M299">
        <f t="shared" si="20"/>
        <v>0</v>
      </c>
      <c r="N299">
        <f t="shared" si="21"/>
        <v>0</v>
      </c>
      <c r="O299">
        <f t="shared" si="22"/>
        <v>0</v>
      </c>
    </row>
    <row r="300" spans="1:15" x14ac:dyDescent="0.3">
      <c r="A300">
        <v>282</v>
      </c>
      <c r="B300" s="4">
        <v>37.463791580401498</v>
      </c>
      <c r="C300" s="4">
        <v>37.478809998584303</v>
      </c>
      <c r="D300" s="2">
        <f>D299+1</f>
        <v>46411</v>
      </c>
      <c r="F300" s="4">
        <f t="shared" si="23"/>
        <v>37.463791580401498</v>
      </c>
      <c r="I300">
        <v>40</v>
      </c>
      <c r="J300" s="4">
        <f t="shared" si="24"/>
        <v>2.536208419598502</v>
      </c>
      <c r="K300">
        <v>2000000</v>
      </c>
      <c r="L300">
        <v>0</v>
      </c>
      <c r="M300">
        <f t="shared" si="20"/>
        <v>0</v>
      </c>
      <c r="N300">
        <f t="shared" si="21"/>
        <v>0</v>
      </c>
      <c r="O300">
        <f t="shared" si="22"/>
        <v>0</v>
      </c>
    </row>
    <row r="301" spans="1:15" x14ac:dyDescent="0.3">
      <c r="A301">
        <v>283</v>
      </c>
      <c r="B301" s="4">
        <v>37.479008651501204</v>
      </c>
      <c r="C301" s="4">
        <v>37.490322231661303</v>
      </c>
      <c r="D301" s="2">
        <f>D300+1</f>
        <v>46412</v>
      </c>
      <c r="F301" s="4">
        <f t="shared" si="23"/>
        <v>37.479008651501204</v>
      </c>
      <c r="I301">
        <v>40</v>
      </c>
      <c r="J301" s="4">
        <f t="shared" si="24"/>
        <v>2.5209913484987965</v>
      </c>
      <c r="K301">
        <v>2000000</v>
      </c>
      <c r="L301">
        <v>0</v>
      </c>
      <c r="M301">
        <f t="shared" si="20"/>
        <v>0</v>
      </c>
      <c r="N301">
        <f t="shared" si="21"/>
        <v>0</v>
      </c>
      <c r="O301">
        <f t="shared" si="22"/>
        <v>0</v>
      </c>
    </row>
    <row r="302" spans="1:15" x14ac:dyDescent="0.3">
      <c r="A302">
        <v>284</v>
      </c>
      <c r="B302" s="4">
        <v>37.493223306691803</v>
      </c>
      <c r="C302" s="4">
        <v>37.502700767623999</v>
      </c>
      <c r="D302" s="2">
        <f>D301+1</f>
        <v>46413</v>
      </c>
      <c r="F302" s="4">
        <f t="shared" si="23"/>
        <v>37.493223306691803</v>
      </c>
      <c r="I302">
        <v>40</v>
      </c>
      <c r="J302" s="4">
        <f t="shared" si="24"/>
        <v>2.506776693308197</v>
      </c>
      <c r="K302">
        <v>2000000</v>
      </c>
      <c r="L302">
        <v>0</v>
      </c>
      <c r="M302">
        <f t="shared" si="20"/>
        <v>0</v>
      </c>
      <c r="N302">
        <f t="shared" si="21"/>
        <v>0</v>
      </c>
      <c r="O302">
        <f t="shared" si="22"/>
        <v>0</v>
      </c>
    </row>
    <row r="303" spans="1:15" x14ac:dyDescent="0.3">
      <c r="A303">
        <v>285</v>
      </c>
      <c r="B303" s="4">
        <v>37.504303097135399</v>
      </c>
      <c r="C303" s="4">
        <v>37.518079225522001</v>
      </c>
      <c r="D303" s="2">
        <f>D302+1</f>
        <v>46414</v>
      </c>
      <c r="F303" s="4">
        <f t="shared" si="23"/>
        <v>37.504303097135399</v>
      </c>
      <c r="I303">
        <v>40</v>
      </c>
      <c r="J303" s="4">
        <f t="shared" si="24"/>
        <v>2.4956969028646014</v>
      </c>
      <c r="K303">
        <v>2000000</v>
      </c>
      <c r="L303">
        <v>0</v>
      </c>
      <c r="M303">
        <f t="shared" si="20"/>
        <v>0</v>
      </c>
      <c r="N303">
        <f t="shared" si="21"/>
        <v>0</v>
      </c>
      <c r="O303">
        <f t="shared" si="22"/>
        <v>0</v>
      </c>
    </row>
    <row r="304" spans="1:15" x14ac:dyDescent="0.3">
      <c r="A304">
        <v>286</v>
      </c>
      <c r="B304" s="4">
        <v>37.516576379120501</v>
      </c>
      <c r="C304" s="4">
        <v>37.532128652162299</v>
      </c>
      <c r="D304" s="2">
        <f>D303+1</f>
        <v>46415</v>
      </c>
      <c r="F304" s="4">
        <f t="shared" si="23"/>
        <v>37.516576379120501</v>
      </c>
      <c r="I304">
        <v>40</v>
      </c>
      <c r="J304" s="4">
        <f t="shared" si="24"/>
        <v>2.4834236208794991</v>
      </c>
      <c r="K304">
        <v>2000000</v>
      </c>
      <c r="L304">
        <v>0</v>
      </c>
      <c r="M304">
        <f t="shared" si="20"/>
        <v>0</v>
      </c>
      <c r="N304">
        <f t="shared" si="21"/>
        <v>0</v>
      </c>
      <c r="O304">
        <f t="shared" si="22"/>
        <v>0</v>
      </c>
    </row>
    <row r="305" spans="1:15" x14ac:dyDescent="0.3">
      <c r="A305">
        <v>287</v>
      </c>
      <c r="B305" s="4">
        <v>37.530226483000902</v>
      </c>
      <c r="C305" s="4">
        <v>37.544666107937701</v>
      </c>
      <c r="D305" s="2">
        <f>D304+1</f>
        <v>46416</v>
      </c>
      <c r="F305" s="4">
        <f t="shared" si="23"/>
        <v>37.530226483000902</v>
      </c>
      <c r="I305">
        <v>40</v>
      </c>
      <c r="J305" s="4">
        <f t="shared" si="24"/>
        <v>2.4697735169990978</v>
      </c>
      <c r="K305">
        <v>2000000</v>
      </c>
      <c r="L305">
        <v>0</v>
      </c>
      <c r="M305">
        <f t="shared" si="20"/>
        <v>0</v>
      </c>
      <c r="N305">
        <f t="shared" si="21"/>
        <v>0</v>
      </c>
      <c r="O305">
        <f t="shared" si="22"/>
        <v>0</v>
      </c>
    </row>
    <row r="306" spans="1:15" x14ac:dyDescent="0.3">
      <c r="A306">
        <v>288</v>
      </c>
      <c r="B306" s="4">
        <v>37.543393116024497</v>
      </c>
      <c r="C306" s="4">
        <v>37.557553262428499</v>
      </c>
      <c r="D306" s="2">
        <f>D305+1</f>
        <v>46417</v>
      </c>
      <c r="F306" s="4">
        <f t="shared" si="23"/>
        <v>37.543393116024497</v>
      </c>
      <c r="I306">
        <v>40</v>
      </c>
      <c r="J306" s="4">
        <f t="shared" si="24"/>
        <v>2.4566068839755033</v>
      </c>
      <c r="K306">
        <v>2000000</v>
      </c>
      <c r="L306">
        <v>0</v>
      </c>
      <c r="M306">
        <f t="shared" si="20"/>
        <v>0</v>
      </c>
      <c r="N306">
        <f t="shared" si="21"/>
        <v>0</v>
      </c>
      <c r="O306">
        <f t="shared" si="22"/>
        <v>0</v>
      </c>
    </row>
    <row r="307" spans="1:15" x14ac:dyDescent="0.3">
      <c r="A307">
        <v>289</v>
      </c>
      <c r="B307" s="4">
        <v>37.555817030746098</v>
      </c>
      <c r="C307" s="4">
        <v>37.571050092905502</v>
      </c>
      <c r="D307" s="2">
        <f>D306+1</f>
        <v>46418</v>
      </c>
      <c r="F307" s="4">
        <f t="shared" si="23"/>
        <v>37.555817030746098</v>
      </c>
      <c r="I307">
        <v>40</v>
      </c>
      <c r="J307" s="4">
        <f t="shared" si="24"/>
        <v>2.4441829692539017</v>
      </c>
      <c r="K307">
        <v>2000000</v>
      </c>
      <c r="L307">
        <v>0</v>
      </c>
      <c r="M307">
        <f t="shared" si="20"/>
        <v>0</v>
      </c>
      <c r="N307">
        <f t="shared" si="21"/>
        <v>0</v>
      </c>
      <c r="O307">
        <f t="shared" si="22"/>
        <v>0</v>
      </c>
    </row>
    <row r="308" spans="1:15" x14ac:dyDescent="0.3">
      <c r="A308">
        <v>290</v>
      </c>
      <c r="B308" s="4">
        <v>37.568547068769902</v>
      </c>
      <c r="C308" s="4">
        <v>37.584107985186698</v>
      </c>
      <c r="D308" s="2">
        <f>D307+1</f>
        <v>46419</v>
      </c>
      <c r="F308" s="4">
        <f t="shared" si="23"/>
        <v>37.568547068769902</v>
      </c>
      <c r="I308">
        <v>40</v>
      </c>
      <c r="J308" s="4">
        <f t="shared" si="24"/>
        <v>2.4314529312300976</v>
      </c>
      <c r="K308">
        <v>2000000</v>
      </c>
      <c r="L308">
        <v>0</v>
      </c>
      <c r="M308">
        <f t="shared" si="20"/>
        <v>0</v>
      </c>
      <c r="N308">
        <f t="shared" si="21"/>
        <v>0</v>
      </c>
      <c r="O308">
        <f t="shared" si="22"/>
        <v>0</v>
      </c>
    </row>
    <row r="309" spans="1:15" x14ac:dyDescent="0.3">
      <c r="A309">
        <v>291</v>
      </c>
      <c r="B309" s="4">
        <v>37.580920678325199</v>
      </c>
      <c r="C309" s="4">
        <v>37.5973903910998</v>
      </c>
      <c r="D309" s="2">
        <f>D308+1</f>
        <v>46420</v>
      </c>
      <c r="F309" s="4">
        <f t="shared" si="23"/>
        <v>37.580920678325199</v>
      </c>
      <c r="I309">
        <v>40</v>
      </c>
      <c r="J309" s="4">
        <f t="shared" si="24"/>
        <v>2.4190793216748006</v>
      </c>
      <c r="K309">
        <v>2000000</v>
      </c>
      <c r="L309">
        <v>0</v>
      </c>
      <c r="M309">
        <f t="shared" si="20"/>
        <v>0</v>
      </c>
      <c r="N309">
        <f t="shared" si="21"/>
        <v>0</v>
      </c>
      <c r="O309">
        <f t="shared" si="22"/>
        <v>0</v>
      </c>
    </row>
    <row r="310" spans="1:15" x14ac:dyDescent="0.3">
      <c r="A310">
        <v>292</v>
      </c>
      <c r="B310" s="4">
        <v>37.5940243442205</v>
      </c>
      <c r="C310" s="4">
        <v>37.6098109876528</v>
      </c>
      <c r="D310" s="2">
        <f>D309+1</f>
        <v>46421</v>
      </c>
      <c r="F310" s="4">
        <f t="shared" si="23"/>
        <v>37.5940243442205</v>
      </c>
      <c r="I310">
        <v>40</v>
      </c>
      <c r="J310" s="4">
        <f t="shared" si="24"/>
        <v>2.4059756557794998</v>
      </c>
      <c r="K310">
        <v>2000000</v>
      </c>
      <c r="L310">
        <v>0</v>
      </c>
      <c r="M310">
        <f t="shared" si="20"/>
        <v>0</v>
      </c>
      <c r="N310">
        <f t="shared" si="21"/>
        <v>0</v>
      </c>
      <c r="O310">
        <f t="shared" si="22"/>
        <v>0</v>
      </c>
    </row>
    <row r="311" spans="1:15" x14ac:dyDescent="0.3">
      <c r="A311">
        <v>293</v>
      </c>
      <c r="B311" s="4">
        <v>37.609649335131202</v>
      </c>
      <c r="C311" s="4">
        <v>37.619578617660103</v>
      </c>
      <c r="D311" s="2">
        <f>D310+1</f>
        <v>46422</v>
      </c>
      <c r="F311" s="4">
        <f t="shared" si="23"/>
        <v>37.609649335131202</v>
      </c>
      <c r="I311">
        <v>40</v>
      </c>
      <c r="J311" s="4">
        <f t="shared" si="24"/>
        <v>2.390350664868798</v>
      </c>
      <c r="K311">
        <v>2000000</v>
      </c>
      <c r="L311">
        <v>0</v>
      </c>
      <c r="M311">
        <f t="shared" si="20"/>
        <v>0</v>
      </c>
      <c r="N311">
        <f t="shared" si="21"/>
        <v>0</v>
      </c>
      <c r="O311">
        <f t="shared" si="22"/>
        <v>0</v>
      </c>
    </row>
    <row r="312" spans="1:15" x14ac:dyDescent="0.3">
      <c r="A312">
        <v>294</v>
      </c>
      <c r="B312" s="4">
        <v>37.6172680126611</v>
      </c>
      <c r="C312" s="4">
        <v>37.637225390293302</v>
      </c>
      <c r="D312" s="2">
        <f>D311+1</f>
        <v>46423</v>
      </c>
      <c r="F312" s="4">
        <f t="shared" si="23"/>
        <v>37.6172680126611</v>
      </c>
      <c r="I312">
        <v>40</v>
      </c>
      <c r="J312" s="4">
        <f t="shared" si="24"/>
        <v>2.3827319873389001</v>
      </c>
      <c r="K312">
        <v>2000000</v>
      </c>
      <c r="L312">
        <v>0</v>
      </c>
      <c r="M312">
        <f t="shared" si="20"/>
        <v>0</v>
      </c>
      <c r="N312">
        <f t="shared" si="21"/>
        <v>0</v>
      </c>
      <c r="O312">
        <f t="shared" si="22"/>
        <v>0</v>
      </c>
    </row>
    <row r="313" spans="1:15" x14ac:dyDescent="0.3">
      <c r="A313">
        <v>295</v>
      </c>
      <c r="B313" s="4">
        <v>37.629421060537702</v>
      </c>
      <c r="C313" s="4">
        <v>37.650206482192601</v>
      </c>
      <c r="D313" s="2">
        <f>D312+1</f>
        <v>46424</v>
      </c>
      <c r="F313" s="4">
        <f t="shared" si="23"/>
        <v>37.629421060537702</v>
      </c>
      <c r="I313">
        <v>40</v>
      </c>
      <c r="J313" s="4">
        <f t="shared" si="24"/>
        <v>2.3705789394622983</v>
      </c>
      <c r="K313">
        <v>2000000</v>
      </c>
      <c r="L313">
        <v>0</v>
      </c>
      <c r="M313">
        <f t="shared" si="20"/>
        <v>0</v>
      </c>
      <c r="N313">
        <f t="shared" si="21"/>
        <v>0</v>
      </c>
      <c r="O313">
        <f t="shared" si="22"/>
        <v>0</v>
      </c>
    </row>
    <row r="314" spans="1:15" x14ac:dyDescent="0.3">
      <c r="A314">
        <v>296</v>
      </c>
      <c r="B314" s="4">
        <v>37.642323570550303</v>
      </c>
      <c r="C314" s="4">
        <v>37.662308747192697</v>
      </c>
      <c r="D314" s="2">
        <f>D313+1</f>
        <v>46425</v>
      </c>
      <c r="F314" s="4">
        <f t="shared" si="23"/>
        <v>37.642323570550303</v>
      </c>
      <c r="I314">
        <v>40</v>
      </c>
      <c r="J314" s="4">
        <f t="shared" si="24"/>
        <v>2.3576764294496968</v>
      </c>
      <c r="K314">
        <v>2000000</v>
      </c>
      <c r="L314">
        <v>0</v>
      </c>
      <c r="M314">
        <f t="shared" si="20"/>
        <v>0</v>
      </c>
      <c r="N314">
        <f t="shared" si="21"/>
        <v>0</v>
      </c>
      <c r="O314">
        <f t="shared" si="22"/>
        <v>0</v>
      </c>
    </row>
    <row r="315" spans="1:15" x14ac:dyDescent="0.3">
      <c r="A315">
        <v>297</v>
      </c>
      <c r="B315" s="4">
        <v>37.655394781827198</v>
      </c>
      <c r="C315" s="4">
        <v>37.674113894470999</v>
      </c>
      <c r="D315" s="2">
        <f>D314+1</f>
        <v>46426</v>
      </c>
      <c r="F315" s="4">
        <f t="shared" si="23"/>
        <v>37.655394781827198</v>
      </c>
      <c r="I315">
        <v>40</v>
      </c>
      <c r="J315" s="4">
        <f t="shared" si="24"/>
        <v>2.3446052181728021</v>
      </c>
      <c r="K315">
        <v>2000000</v>
      </c>
      <c r="L315">
        <v>0</v>
      </c>
      <c r="M315">
        <f t="shared" si="20"/>
        <v>0</v>
      </c>
      <c r="N315">
        <f t="shared" si="21"/>
        <v>0</v>
      </c>
      <c r="O315">
        <f t="shared" si="22"/>
        <v>0</v>
      </c>
    </row>
    <row r="316" spans="1:15" x14ac:dyDescent="0.3">
      <c r="A316">
        <v>298</v>
      </c>
      <c r="B316" s="4">
        <v>37.667086301424703</v>
      </c>
      <c r="C316" s="4">
        <v>37.687171716300497</v>
      </c>
      <c r="D316" s="2">
        <f>D315+1</f>
        <v>46427</v>
      </c>
      <c r="F316" s="4">
        <f t="shared" si="23"/>
        <v>37.667086301424703</v>
      </c>
      <c r="I316">
        <v>40</v>
      </c>
      <c r="J316" s="4">
        <f t="shared" si="24"/>
        <v>2.3329136985752967</v>
      </c>
      <c r="K316">
        <v>2000000</v>
      </c>
      <c r="L316">
        <v>0</v>
      </c>
      <c r="M316">
        <f t="shared" si="20"/>
        <v>0</v>
      </c>
      <c r="N316">
        <f t="shared" si="21"/>
        <v>0</v>
      </c>
      <c r="O316">
        <f t="shared" si="22"/>
        <v>0</v>
      </c>
    </row>
    <row r="317" spans="1:15" x14ac:dyDescent="0.3">
      <c r="A317">
        <v>299</v>
      </c>
      <c r="B317" s="4">
        <v>37.675994959324697</v>
      </c>
      <c r="C317" s="4">
        <v>37.702887085846399</v>
      </c>
      <c r="D317" s="2">
        <f>D316+1</f>
        <v>46428</v>
      </c>
      <c r="F317" s="4">
        <f t="shared" si="23"/>
        <v>37.675994959324697</v>
      </c>
      <c r="I317">
        <v>40</v>
      </c>
      <c r="J317" s="4">
        <f t="shared" si="24"/>
        <v>2.3240050406753028</v>
      </c>
      <c r="K317">
        <v>2000000</v>
      </c>
      <c r="L317">
        <v>0</v>
      </c>
      <c r="M317">
        <f t="shared" si="20"/>
        <v>0</v>
      </c>
      <c r="N317">
        <f t="shared" si="21"/>
        <v>0</v>
      </c>
      <c r="O317">
        <f t="shared" si="22"/>
        <v>0</v>
      </c>
    </row>
    <row r="318" spans="1:15" x14ac:dyDescent="0.3">
      <c r="A318">
        <v>300</v>
      </c>
      <c r="B318" s="4">
        <v>37.688956782929999</v>
      </c>
      <c r="C318" s="4">
        <v>37.714420197589099</v>
      </c>
      <c r="D318" s="2">
        <f>D317+1</f>
        <v>46429</v>
      </c>
      <c r="F318" s="4">
        <f t="shared" si="23"/>
        <v>37.688956782929999</v>
      </c>
      <c r="I318">
        <v>40</v>
      </c>
      <c r="J318" s="4">
        <f t="shared" si="24"/>
        <v>2.3110432170700008</v>
      </c>
      <c r="K318">
        <v>2000000</v>
      </c>
      <c r="L318">
        <v>0</v>
      </c>
      <c r="M318">
        <f t="shared" si="20"/>
        <v>0</v>
      </c>
      <c r="N318">
        <f t="shared" si="21"/>
        <v>0</v>
      </c>
      <c r="O318">
        <f t="shared" si="22"/>
        <v>0</v>
      </c>
    </row>
    <row r="319" spans="1:15" x14ac:dyDescent="0.3">
      <c r="A319">
        <v>301</v>
      </c>
      <c r="B319" s="4">
        <v>37.704605356613499</v>
      </c>
      <c r="C319" s="4">
        <v>37.723139166325197</v>
      </c>
      <c r="D319" s="2">
        <f>D318+1</f>
        <v>46430</v>
      </c>
      <c r="F319" s="4">
        <f t="shared" si="23"/>
        <v>37.704605356613499</v>
      </c>
      <c r="I319">
        <v>40</v>
      </c>
      <c r="J319" s="4">
        <f t="shared" si="24"/>
        <v>2.2953946433865013</v>
      </c>
      <c r="K319">
        <v>2000000</v>
      </c>
      <c r="L319">
        <v>0</v>
      </c>
      <c r="M319">
        <f t="shared" si="20"/>
        <v>0</v>
      </c>
      <c r="N319">
        <f t="shared" si="21"/>
        <v>0</v>
      </c>
      <c r="O319">
        <f t="shared" si="22"/>
        <v>0</v>
      </c>
    </row>
    <row r="320" spans="1:15" x14ac:dyDescent="0.3">
      <c r="A320">
        <v>302</v>
      </c>
      <c r="B320" s="4">
        <v>37.713756434758103</v>
      </c>
      <c r="C320" s="4">
        <v>37.738234082224203</v>
      </c>
      <c r="D320" s="2">
        <f>D319+1</f>
        <v>46431</v>
      </c>
      <c r="F320" s="4">
        <f t="shared" si="23"/>
        <v>37.713756434758103</v>
      </c>
      <c r="I320">
        <v>40</v>
      </c>
      <c r="J320" s="4">
        <f t="shared" si="24"/>
        <v>2.2862435652418966</v>
      </c>
      <c r="K320">
        <v>2000000</v>
      </c>
      <c r="L320">
        <v>0</v>
      </c>
      <c r="M320">
        <f t="shared" si="20"/>
        <v>0</v>
      </c>
      <c r="N320">
        <f t="shared" si="21"/>
        <v>0</v>
      </c>
      <c r="O320">
        <f t="shared" si="22"/>
        <v>0</v>
      </c>
    </row>
    <row r="321" spans="1:15" x14ac:dyDescent="0.3">
      <c r="A321">
        <v>303</v>
      </c>
      <c r="B321" s="4">
        <v>37.7275797402583</v>
      </c>
      <c r="C321" s="4">
        <v>37.748529351595799</v>
      </c>
      <c r="D321" s="2">
        <f>D320+1</f>
        <v>46432</v>
      </c>
      <c r="F321" s="4">
        <f t="shared" si="23"/>
        <v>37.7275797402583</v>
      </c>
      <c r="I321">
        <v>40</v>
      </c>
      <c r="J321" s="4">
        <f t="shared" si="24"/>
        <v>2.2724202597417005</v>
      </c>
      <c r="K321">
        <v>2000000</v>
      </c>
      <c r="L321">
        <v>0</v>
      </c>
      <c r="M321">
        <f t="shared" si="20"/>
        <v>0</v>
      </c>
      <c r="N321">
        <f t="shared" si="21"/>
        <v>0</v>
      </c>
      <c r="O321">
        <f t="shared" si="22"/>
        <v>0</v>
      </c>
    </row>
    <row r="322" spans="1:15" x14ac:dyDescent="0.3">
      <c r="A322">
        <v>304</v>
      </c>
      <c r="B322" s="4">
        <v>37.738984436885097</v>
      </c>
      <c r="C322" s="4">
        <v>37.761120566704498</v>
      </c>
      <c r="D322" s="2">
        <f>D321+1</f>
        <v>46433</v>
      </c>
      <c r="F322" s="4">
        <f t="shared" si="23"/>
        <v>37.738984436885097</v>
      </c>
      <c r="I322">
        <v>40</v>
      </c>
      <c r="J322" s="4">
        <f t="shared" si="24"/>
        <v>2.2610155631149027</v>
      </c>
      <c r="K322">
        <v>2000000</v>
      </c>
      <c r="L322">
        <v>0</v>
      </c>
      <c r="M322">
        <f t="shared" si="20"/>
        <v>0</v>
      </c>
      <c r="N322">
        <f t="shared" si="21"/>
        <v>0</v>
      </c>
      <c r="O322">
        <f t="shared" si="22"/>
        <v>0</v>
      </c>
    </row>
    <row r="323" spans="1:15" x14ac:dyDescent="0.3">
      <c r="A323">
        <v>305</v>
      </c>
      <c r="B323" s="4">
        <v>37.750856629622199</v>
      </c>
      <c r="C323" s="4">
        <v>37.773120517435501</v>
      </c>
      <c r="D323" s="2">
        <f>D322+1</f>
        <v>46434</v>
      </c>
      <c r="F323" s="4">
        <f t="shared" si="23"/>
        <v>37.750856629622199</v>
      </c>
      <c r="I323">
        <v>40</v>
      </c>
      <c r="J323" s="4">
        <f t="shared" si="24"/>
        <v>2.2491433703778014</v>
      </c>
      <c r="K323">
        <v>2000000</v>
      </c>
      <c r="L323">
        <v>0</v>
      </c>
      <c r="M323">
        <f t="shared" si="20"/>
        <v>0</v>
      </c>
      <c r="N323">
        <f t="shared" si="21"/>
        <v>0</v>
      </c>
      <c r="O323">
        <f t="shared" si="22"/>
        <v>0</v>
      </c>
    </row>
    <row r="324" spans="1:15" x14ac:dyDescent="0.3">
      <c r="A324">
        <v>306</v>
      </c>
      <c r="B324" s="4">
        <v>37.760713835140599</v>
      </c>
      <c r="C324" s="4">
        <v>37.787013842096499</v>
      </c>
      <c r="D324" s="2">
        <f>D323+1</f>
        <v>46435</v>
      </c>
      <c r="F324" s="4">
        <f t="shared" si="23"/>
        <v>37.760713835140599</v>
      </c>
      <c r="I324">
        <v>40</v>
      </c>
      <c r="J324" s="4">
        <f t="shared" si="24"/>
        <v>2.2392861648594007</v>
      </c>
      <c r="K324">
        <v>2000000</v>
      </c>
      <c r="L324">
        <v>0</v>
      </c>
      <c r="M324">
        <f t="shared" si="20"/>
        <v>0</v>
      </c>
      <c r="N324">
        <f t="shared" si="21"/>
        <v>0</v>
      </c>
      <c r="O324">
        <f t="shared" si="22"/>
        <v>0</v>
      </c>
    </row>
    <row r="325" spans="1:15" x14ac:dyDescent="0.3">
      <c r="A325">
        <v>307</v>
      </c>
      <c r="B325" s="4">
        <v>37.771935787703796</v>
      </c>
      <c r="C325" s="4">
        <v>37.799419261968701</v>
      </c>
      <c r="D325" s="2">
        <f>D324+1</f>
        <v>46436</v>
      </c>
      <c r="F325" s="4">
        <f t="shared" si="23"/>
        <v>37.771935787703796</v>
      </c>
      <c r="I325">
        <v>40</v>
      </c>
      <c r="J325" s="4">
        <f t="shared" si="24"/>
        <v>2.2280642122962036</v>
      </c>
      <c r="K325">
        <v>2000000</v>
      </c>
      <c r="L325">
        <v>0</v>
      </c>
      <c r="M325">
        <f t="shared" si="20"/>
        <v>0</v>
      </c>
      <c r="N325">
        <f t="shared" si="21"/>
        <v>0</v>
      </c>
      <c r="O325">
        <f t="shared" si="22"/>
        <v>0</v>
      </c>
    </row>
    <row r="326" spans="1:15" x14ac:dyDescent="0.3">
      <c r="A326">
        <v>308</v>
      </c>
      <c r="B326" s="4">
        <v>37.7863224552163</v>
      </c>
      <c r="C326" s="4">
        <v>37.808536121556301</v>
      </c>
      <c r="D326" s="2">
        <f>D325+1</f>
        <v>46437</v>
      </c>
      <c r="F326" s="4">
        <f t="shared" si="23"/>
        <v>37.7863224552163</v>
      </c>
      <c r="I326">
        <v>40</v>
      </c>
      <c r="J326" s="4">
        <f t="shared" si="24"/>
        <v>2.2136775447836996</v>
      </c>
      <c r="K326">
        <v>2000000</v>
      </c>
      <c r="L326">
        <v>0</v>
      </c>
      <c r="M326">
        <f t="shared" si="20"/>
        <v>0</v>
      </c>
      <c r="N326">
        <f t="shared" si="21"/>
        <v>0</v>
      </c>
      <c r="O326">
        <f t="shared" si="22"/>
        <v>0</v>
      </c>
    </row>
    <row r="327" spans="1:15" x14ac:dyDescent="0.3">
      <c r="A327">
        <v>309</v>
      </c>
      <c r="B327" s="4">
        <v>37.799220974874103</v>
      </c>
      <c r="C327" s="4">
        <v>37.819021086379102</v>
      </c>
      <c r="D327" s="2">
        <f>D326+1</f>
        <v>46438</v>
      </c>
      <c r="F327" s="4">
        <f t="shared" si="23"/>
        <v>37.799220974874103</v>
      </c>
      <c r="I327">
        <v>40</v>
      </c>
      <c r="J327" s="4">
        <f t="shared" si="24"/>
        <v>2.2007790251258967</v>
      </c>
      <c r="K327">
        <v>2000000</v>
      </c>
      <c r="L327">
        <v>0</v>
      </c>
      <c r="M327">
        <f t="shared" si="20"/>
        <v>0</v>
      </c>
      <c r="N327">
        <f t="shared" si="21"/>
        <v>0</v>
      </c>
      <c r="O327">
        <f t="shared" si="22"/>
        <v>0</v>
      </c>
    </row>
    <row r="328" spans="1:15" x14ac:dyDescent="0.3">
      <c r="A328">
        <v>310</v>
      </c>
      <c r="B328" s="4">
        <v>37.814321871185101</v>
      </c>
      <c r="C328" s="4">
        <v>37.827182326710997</v>
      </c>
      <c r="D328" s="2">
        <f>D327+1</f>
        <v>46439</v>
      </c>
      <c r="F328" s="4">
        <f t="shared" si="23"/>
        <v>37.814321871185101</v>
      </c>
      <c r="I328">
        <v>40</v>
      </c>
      <c r="J328" s="4">
        <f t="shared" si="24"/>
        <v>2.1856781288148994</v>
      </c>
      <c r="K328">
        <v>2000000</v>
      </c>
      <c r="L328">
        <v>0</v>
      </c>
      <c r="M328">
        <f t="shared" si="20"/>
        <v>0</v>
      </c>
      <c r="N328">
        <f t="shared" si="21"/>
        <v>0</v>
      </c>
      <c r="O328">
        <f t="shared" si="22"/>
        <v>0</v>
      </c>
    </row>
    <row r="329" spans="1:15" x14ac:dyDescent="0.3">
      <c r="A329">
        <v>311</v>
      </c>
      <c r="B329" s="4">
        <v>37.828250936269797</v>
      </c>
      <c r="C329" s="4">
        <v>37.836396304280903</v>
      </c>
      <c r="D329" s="2">
        <f>D328+1</f>
        <v>46440</v>
      </c>
      <c r="F329" s="4">
        <f t="shared" si="23"/>
        <v>37.828250936269797</v>
      </c>
      <c r="I329">
        <v>40</v>
      </c>
      <c r="J329" s="4">
        <f t="shared" si="24"/>
        <v>2.1717490637302035</v>
      </c>
      <c r="K329">
        <v>2000000</v>
      </c>
      <c r="L329">
        <v>0</v>
      </c>
      <c r="M329">
        <f t="shared" si="20"/>
        <v>0</v>
      </c>
      <c r="N329">
        <f t="shared" si="21"/>
        <v>0</v>
      </c>
      <c r="O329">
        <f t="shared" si="22"/>
        <v>0</v>
      </c>
    </row>
    <row r="330" spans="1:15" x14ac:dyDescent="0.3">
      <c r="A330">
        <v>312</v>
      </c>
      <c r="B330" s="4">
        <v>37.840651114282302</v>
      </c>
      <c r="C330" s="4">
        <v>37.8470202949335</v>
      </c>
      <c r="D330" s="2">
        <f>D329+1</f>
        <v>46441</v>
      </c>
      <c r="F330" s="4">
        <f t="shared" si="23"/>
        <v>37.840651114282302</v>
      </c>
      <c r="I330">
        <v>40</v>
      </c>
      <c r="J330" s="4">
        <f t="shared" si="24"/>
        <v>2.1593488857176979</v>
      </c>
      <c r="K330">
        <v>2000000</v>
      </c>
      <c r="L330">
        <v>0</v>
      </c>
      <c r="M330">
        <f t="shared" si="20"/>
        <v>0</v>
      </c>
      <c r="N330">
        <f t="shared" si="21"/>
        <v>0</v>
      </c>
      <c r="O330">
        <f t="shared" si="22"/>
        <v>0</v>
      </c>
    </row>
    <row r="331" spans="1:15" x14ac:dyDescent="0.3">
      <c r="A331">
        <v>313</v>
      </c>
      <c r="B331" s="4">
        <v>37.855565068718597</v>
      </c>
      <c r="C331" s="4">
        <v>37.855011632668301</v>
      </c>
      <c r="D331" s="2">
        <f>D330+1</f>
        <v>46442</v>
      </c>
      <c r="F331" s="4">
        <f t="shared" si="23"/>
        <v>37.855565068718597</v>
      </c>
      <c r="I331">
        <v>40</v>
      </c>
      <c r="J331" s="4">
        <f t="shared" si="24"/>
        <v>2.1444349312814026</v>
      </c>
      <c r="K331">
        <v>2000000</v>
      </c>
      <c r="L331">
        <v>0</v>
      </c>
      <c r="M331">
        <f t="shared" si="20"/>
        <v>0</v>
      </c>
      <c r="N331">
        <f t="shared" si="21"/>
        <v>0</v>
      </c>
      <c r="O331">
        <f t="shared" si="22"/>
        <v>0</v>
      </c>
    </row>
    <row r="332" spans="1:15" x14ac:dyDescent="0.3">
      <c r="A332">
        <v>314</v>
      </c>
      <c r="B332" s="4">
        <v>37.867824757809998</v>
      </c>
      <c r="C332" s="4">
        <v>37.865539328226198</v>
      </c>
      <c r="D332" s="2">
        <f>D331+1</f>
        <v>46443</v>
      </c>
      <c r="F332" s="4">
        <f t="shared" si="23"/>
        <v>37.867824757809998</v>
      </c>
      <c r="I332">
        <v>40</v>
      </c>
      <c r="J332" s="4">
        <f t="shared" si="24"/>
        <v>2.1321752421900015</v>
      </c>
      <c r="K332">
        <v>2000000</v>
      </c>
      <c r="L332">
        <v>0</v>
      </c>
      <c r="M332">
        <f t="shared" si="20"/>
        <v>0</v>
      </c>
      <c r="N332">
        <f t="shared" si="21"/>
        <v>0</v>
      </c>
      <c r="O332">
        <f t="shared" si="22"/>
        <v>0</v>
      </c>
    </row>
    <row r="333" spans="1:15" x14ac:dyDescent="0.3">
      <c r="A333">
        <v>315</v>
      </c>
      <c r="B333" s="4">
        <v>37.8807903480145</v>
      </c>
      <c r="C333" s="4">
        <v>37.875243625494903</v>
      </c>
      <c r="D333" s="2">
        <f>D332+1</f>
        <v>46444</v>
      </c>
      <c r="F333" s="4">
        <f t="shared" si="23"/>
        <v>37.8807903480145</v>
      </c>
      <c r="I333">
        <v>40</v>
      </c>
      <c r="J333" s="4">
        <f t="shared" si="24"/>
        <v>2.1192096519854999</v>
      </c>
      <c r="K333">
        <v>2000000</v>
      </c>
      <c r="L333">
        <v>0</v>
      </c>
      <c r="M333">
        <f t="shared" si="20"/>
        <v>0</v>
      </c>
      <c r="N333">
        <f t="shared" si="21"/>
        <v>0</v>
      </c>
      <c r="O333">
        <f t="shared" si="22"/>
        <v>0</v>
      </c>
    </row>
    <row r="334" spans="1:15" x14ac:dyDescent="0.3">
      <c r="A334">
        <v>316</v>
      </c>
      <c r="B334" s="4">
        <v>37.891465956328297</v>
      </c>
      <c r="C334" s="4">
        <v>37.887120594602401</v>
      </c>
      <c r="D334" s="2">
        <f>D333+1</f>
        <v>46445</v>
      </c>
      <c r="F334" s="4">
        <f t="shared" si="23"/>
        <v>37.891465956328297</v>
      </c>
      <c r="I334">
        <v>40</v>
      </c>
      <c r="J334" s="4">
        <f t="shared" si="24"/>
        <v>2.1085340436717033</v>
      </c>
      <c r="K334">
        <v>2000000</v>
      </c>
      <c r="L334">
        <v>0</v>
      </c>
      <c r="M334">
        <f t="shared" si="20"/>
        <v>0</v>
      </c>
      <c r="N334">
        <f t="shared" si="21"/>
        <v>0</v>
      </c>
      <c r="O334">
        <f t="shared" si="22"/>
        <v>0</v>
      </c>
    </row>
    <row r="335" spans="1:15" x14ac:dyDescent="0.3">
      <c r="A335">
        <v>317</v>
      </c>
      <c r="B335" s="4">
        <v>37.902804427279897</v>
      </c>
      <c r="C335" s="4">
        <v>37.898218298617302</v>
      </c>
      <c r="D335" s="2">
        <f>D334+1</f>
        <v>46446</v>
      </c>
      <c r="F335" s="4">
        <f t="shared" si="23"/>
        <v>37.902804427279897</v>
      </c>
      <c r="I335">
        <v>40</v>
      </c>
      <c r="J335" s="4">
        <f t="shared" si="24"/>
        <v>2.0971955727201035</v>
      </c>
      <c r="K335">
        <v>2000000</v>
      </c>
      <c r="L335">
        <v>0</v>
      </c>
      <c r="M335">
        <f t="shared" si="20"/>
        <v>0</v>
      </c>
      <c r="N335">
        <f t="shared" si="21"/>
        <v>0</v>
      </c>
      <c r="O335">
        <f t="shared" si="22"/>
        <v>0</v>
      </c>
    </row>
    <row r="336" spans="1:15" x14ac:dyDescent="0.3">
      <c r="A336">
        <v>318</v>
      </c>
      <c r="B336" s="4">
        <v>37.9125729276832</v>
      </c>
      <c r="C336" s="4">
        <v>37.910769912230101</v>
      </c>
      <c r="D336" s="2">
        <f>D335+1</f>
        <v>46447</v>
      </c>
      <c r="F336" s="4">
        <f t="shared" si="23"/>
        <v>37.9125729276832</v>
      </c>
      <c r="I336">
        <v>40</v>
      </c>
      <c r="J336" s="4">
        <f t="shared" si="24"/>
        <v>2.0874270723167996</v>
      </c>
      <c r="K336">
        <v>2000000</v>
      </c>
      <c r="L336">
        <v>0</v>
      </c>
      <c r="M336">
        <f t="shared" si="20"/>
        <v>0</v>
      </c>
      <c r="N336">
        <f t="shared" si="21"/>
        <v>0</v>
      </c>
      <c r="O336">
        <f t="shared" si="22"/>
        <v>0</v>
      </c>
    </row>
    <row r="337" spans="1:15" x14ac:dyDescent="0.3">
      <c r="A337">
        <v>319</v>
      </c>
      <c r="B337" s="4">
        <v>37.925629053554303</v>
      </c>
      <c r="C337" s="4">
        <v>37.919918844905197</v>
      </c>
      <c r="D337" s="2">
        <f>D336+1</f>
        <v>46448</v>
      </c>
      <c r="F337" s="4">
        <f t="shared" si="23"/>
        <v>37.925629053554303</v>
      </c>
      <c r="I337">
        <v>40</v>
      </c>
      <c r="J337" s="4">
        <f t="shared" si="24"/>
        <v>2.074370946445697</v>
      </c>
      <c r="K337">
        <v>2000000</v>
      </c>
      <c r="L337">
        <v>0</v>
      </c>
      <c r="M337">
        <f t="shared" si="20"/>
        <v>0</v>
      </c>
      <c r="N337">
        <f t="shared" si="21"/>
        <v>0</v>
      </c>
      <c r="O337">
        <f t="shared" si="22"/>
        <v>0</v>
      </c>
    </row>
    <row r="338" spans="1:15" x14ac:dyDescent="0.3">
      <c r="A338">
        <v>320</v>
      </c>
      <c r="B338" s="4">
        <v>37.9343268277497</v>
      </c>
      <c r="C338" s="4">
        <v>37.933310922178798</v>
      </c>
      <c r="D338" s="2">
        <f>D337+1</f>
        <v>46449</v>
      </c>
      <c r="F338" s="4">
        <f t="shared" si="23"/>
        <v>37.9343268277497</v>
      </c>
      <c r="I338">
        <v>40</v>
      </c>
      <c r="J338" s="4">
        <f t="shared" si="24"/>
        <v>2.0656731722502997</v>
      </c>
      <c r="K338">
        <v>2000000</v>
      </c>
      <c r="L338">
        <v>0</v>
      </c>
      <c r="M338">
        <f t="shared" si="20"/>
        <v>0</v>
      </c>
      <c r="N338">
        <f t="shared" si="21"/>
        <v>0</v>
      </c>
      <c r="O338">
        <f t="shared" si="22"/>
        <v>0</v>
      </c>
    </row>
    <row r="339" spans="1:15" x14ac:dyDescent="0.3">
      <c r="A339">
        <v>321</v>
      </c>
      <c r="B339" s="4">
        <v>37.946861227153001</v>
      </c>
      <c r="C339" s="4">
        <v>37.942752439946702</v>
      </c>
      <c r="D339" s="2">
        <f>D338+1</f>
        <v>46450</v>
      </c>
      <c r="F339" s="4">
        <f t="shared" si="23"/>
        <v>37.946861227153001</v>
      </c>
      <c r="I339">
        <v>40</v>
      </c>
      <c r="J339" s="4">
        <f t="shared" si="24"/>
        <v>2.0531387728469994</v>
      </c>
      <c r="K339">
        <v>2000000</v>
      </c>
      <c r="L339">
        <v>0</v>
      </c>
      <c r="M339">
        <f t="shared" ref="M339:M383" si="25">IF(L339&gt;0,-(F339+$C$6)*L339,0)</f>
        <v>0</v>
      </c>
      <c r="N339">
        <f t="shared" ref="N339:N383" si="26">IF(L339&lt;0,ABS(L339)*(F339-$C$7),0)</f>
        <v>0</v>
      </c>
      <c r="O339">
        <f t="shared" ref="O339:O383" si="27">SUM(M339:N339)</f>
        <v>0</v>
      </c>
    </row>
    <row r="340" spans="1:15" x14ac:dyDescent="0.3">
      <c r="A340">
        <v>322</v>
      </c>
      <c r="B340" s="4">
        <v>37.957404037832497</v>
      </c>
      <c r="C340" s="4">
        <v>37.954071713247799</v>
      </c>
      <c r="D340" s="2">
        <f>D339+1</f>
        <v>46451</v>
      </c>
      <c r="F340" s="4">
        <f t="shared" ref="F340:F383" si="28">B340</f>
        <v>37.957404037832497</v>
      </c>
      <c r="I340">
        <v>40</v>
      </c>
      <c r="J340" s="4">
        <f t="shared" ref="J340:J383" si="29">I340-F340</f>
        <v>2.0425959621675034</v>
      </c>
      <c r="K340">
        <v>2000000</v>
      </c>
      <c r="L340">
        <v>0</v>
      </c>
      <c r="M340">
        <f t="shared" si="25"/>
        <v>0</v>
      </c>
      <c r="N340">
        <f t="shared" si="26"/>
        <v>0</v>
      </c>
      <c r="O340">
        <f t="shared" si="27"/>
        <v>0</v>
      </c>
    </row>
    <row r="341" spans="1:15" x14ac:dyDescent="0.3">
      <c r="A341">
        <v>323</v>
      </c>
      <c r="B341" s="4">
        <v>37.970590502388902</v>
      </c>
      <c r="C341" s="4">
        <v>37.962634577604902</v>
      </c>
      <c r="D341" s="2">
        <f>D340+1</f>
        <v>46452</v>
      </c>
      <c r="F341" s="4">
        <f t="shared" si="28"/>
        <v>37.970590502388902</v>
      </c>
      <c r="I341">
        <v>40</v>
      </c>
      <c r="J341" s="4">
        <f t="shared" si="29"/>
        <v>2.0294094976110983</v>
      </c>
      <c r="K341">
        <v>2000000</v>
      </c>
      <c r="L341">
        <v>0</v>
      </c>
      <c r="M341">
        <f t="shared" si="25"/>
        <v>0</v>
      </c>
      <c r="N341">
        <f t="shared" si="26"/>
        <v>0</v>
      </c>
      <c r="O341">
        <f t="shared" si="27"/>
        <v>0</v>
      </c>
    </row>
    <row r="342" spans="1:15" x14ac:dyDescent="0.3">
      <c r="A342">
        <v>324</v>
      </c>
      <c r="B342" s="4">
        <v>37.982876301942703</v>
      </c>
      <c r="C342" s="4">
        <v>37.971985542044102</v>
      </c>
      <c r="D342" s="2">
        <f>D341+1</f>
        <v>46453</v>
      </c>
      <c r="F342" s="4">
        <f t="shared" si="28"/>
        <v>37.982876301942703</v>
      </c>
      <c r="I342">
        <v>40</v>
      </c>
      <c r="J342" s="4">
        <f t="shared" si="29"/>
        <v>2.0171236980572971</v>
      </c>
      <c r="K342">
        <v>2000000</v>
      </c>
      <c r="L342">
        <v>0</v>
      </c>
      <c r="M342">
        <f t="shared" si="25"/>
        <v>0</v>
      </c>
      <c r="N342">
        <f t="shared" si="26"/>
        <v>0</v>
      </c>
      <c r="O342">
        <f t="shared" si="27"/>
        <v>0</v>
      </c>
    </row>
    <row r="343" spans="1:15" x14ac:dyDescent="0.3">
      <c r="A343">
        <v>325</v>
      </c>
      <c r="B343" s="4">
        <v>37.997220000081199</v>
      </c>
      <c r="C343" s="4">
        <v>37.979167571770397</v>
      </c>
      <c r="D343" s="2">
        <f>D342+1</f>
        <v>46454</v>
      </c>
      <c r="F343" s="4">
        <f t="shared" si="28"/>
        <v>37.997220000081199</v>
      </c>
      <c r="I343">
        <v>40</v>
      </c>
      <c r="J343" s="4">
        <f t="shared" si="29"/>
        <v>2.0027799999188005</v>
      </c>
      <c r="K343">
        <v>2000000</v>
      </c>
      <c r="L343">
        <v>0</v>
      </c>
      <c r="M343">
        <f t="shared" si="25"/>
        <v>0</v>
      </c>
      <c r="N343">
        <f t="shared" si="26"/>
        <v>0</v>
      </c>
      <c r="O343">
        <f t="shared" si="27"/>
        <v>0</v>
      </c>
    </row>
    <row r="344" spans="1:15" x14ac:dyDescent="0.3">
      <c r="A344">
        <v>326</v>
      </c>
      <c r="B344" s="4">
        <v>38.009329046681003</v>
      </c>
      <c r="C344" s="4">
        <v>37.988472117339803</v>
      </c>
      <c r="D344" s="2">
        <f>D343+1</f>
        <v>46455</v>
      </c>
      <c r="F344" s="4">
        <f t="shared" si="28"/>
        <v>38.009329046681003</v>
      </c>
      <c r="I344">
        <v>40</v>
      </c>
      <c r="J344" s="4">
        <f t="shared" si="29"/>
        <v>1.9906709533189968</v>
      </c>
      <c r="K344">
        <v>2000000</v>
      </c>
      <c r="L344">
        <v>0</v>
      </c>
      <c r="M344">
        <f t="shared" si="25"/>
        <v>0</v>
      </c>
      <c r="N344">
        <f t="shared" si="26"/>
        <v>0</v>
      </c>
      <c r="O344">
        <f t="shared" si="27"/>
        <v>0</v>
      </c>
    </row>
    <row r="345" spans="1:15" x14ac:dyDescent="0.3">
      <c r="A345">
        <v>327</v>
      </c>
      <c r="B345" s="4">
        <v>38.016807253381302</v>
      </c>
      <c r="C345" s="4">
        <v>38.002294364312199</v>
      </c>
      <c r="D345" s="2">
        <f>D344+1</f>
        <v>46456</v>
      </c>
      <c r="F345" s="4">
        <f t="shared" si="28"/>
        <v>38.016807253381302</v>
      </c>
      <c r="I345">
        <v>40</v>
      </c>
      <c r="J345" s="4">
        <f t="shared" si="29"/>
        <v>1.9831927466186983</v>
      </c>
      <c r="K345">
        <v>2000000</v>
      </c>
      <c r="L345">
        <v>0</v>
      </c>
      <c r="M345">
        <f t="shared" si="25"/>
        <v>0</v>
      </c>
      <c r="N345">
        <f t="shared" si="26"/>
        <v>0</v>
      </c>
      <c r="O345">
        <f t="shared" si="27"/>
        <v>0</v>
      </c>
    </row>
    <row r="346" spans="1:15" x14ac:dyDescent="0.3">
      <c r="A346">
        <v>328</v>
      </c>
      <c r="B346" s="4">
        <v>38.027232539621998</v>
      </c>
      <c r="C346" s="4">
        <v>38.013060541519202</v>
      </c>
      <c r="D346" s="2">
        <f>D345+1</f>
        <v>46457</v>
      </c>
      <c r="F346" s="4">
        <f t="shared" si="28"/>
        <v>38.027232539621998</v>
      </c>
      <c r="I346">
        <v>40</v>
      </c>
      <c r="J346" s="4">
        <f t="shared" si="29"/>
        <v>1.9727674603780017</v>
      </c>
      <c r="K346">
        <v>2000000</v>
      </c>
      <c r="L346">
        <v>0</v>
      </c>
      <c r="M346">
        <f t="shared" si="25"/>
        <v>0</v>
      </c>
      <c r="N346">
        <f t="shared" si="26"/>
        <v>0</v>
      </c>
      <c r="O346">
        <f t="shared" si="27"/>
        <v>0</v>
      </c>
    </row>
    <row r="347" spans="1:15" x14ac:dyDescent="0.3">
      <c r="A347">
        <v>329</v>
      </c>
      <c r="B347" s="4">
        <v>38.035410416305098</v>
      </c>
      <c r="C347" s="4">
        <v>38.025963596766402</v>
      </c>
      <c r="D347" s="2">
        <f>D346+1</f>
        <v>46458</v>
      </c>
      <c r="F347" s="4">
        <f t="shared" si="28"/>
        <v>38.035410416305098</v>
      </c>
      <c r="I347">
        <v>40</v>
      </c>
      <c r="J347" s="4">
        <f t="shared" si="29"/>
        <v>1.9645895836949023</v>
      </c>
      <c r="K347">
        <v>2000000</v>
      </c>
      <c r="L347">
        <v>0</v>
      </c>
      <c r="M347">
        <f t="shared" si="25"/>
        <v>0</v>
      </c>
      <c r="N347">
        <f t="shared" si="26"/>
        <v>0</v>
      </c>
      <c r="O347">
        <f t="shared" si="27"/>
        <v>0</v>
      </c>
    </row>
    <row r="348" spans="1:15" x14ac:dyDescent="0.3">
      <c r="A348">
        <v>330</v>
      </c>
      <c r="B348" s="4">
        <v>38.044843162764302</v>
      </c>
      <c r="C348" s="4">
        <v>38.037502959198399</v>
      </c>
      <c r="D348" s="2">
        <f>D347+1</f>
        <v>46459</v>
      </c>
      <c r="F348" s="4">
        <f t="shared" si="28"/>
        <v>38.044843162764302</v>
      </c>
      <c r="I348">
        <v>40</v>
      </c>
      <c r="J348" s="4">
        <f t="shared" si="29"/>
        <v>1.9551568372356982</v>
      </c>
      <c r="K348">
        <v>2000000</v>
      </c>
      <c r="L348">
        <v>0</v>
      </c>
      <c r="M348">
        <f t="shared" si="25"/>
        <v>0</v>
      </c>
      <c r="N348">
        <f t="shared" si="26"/>
        <v>0</v>
      </c>
      <c r="O348">
        <f t="shared" si="27"/>
        <v>0</v>
      </c>
    </row>
    <row r="349" spans="1:15" x14ac:dyDescent="0.3">
      <c r="A349">
        <v>331</v>
      </c>
      <c r="B349" s="4">
        <v>38.058256985223302</v>
      </c>
      <c r="C349" s="4">
        <v>38.044953497855197</v>
      </c>
      <c r="D349" s="2">
        <f>D348+1</f>
        <v>46460</v>
      </c>
      <c r="F349" s="4">
        <f t="shared" si="28"/>
        <v>38.058256985223302</v>
      </c>
      <c r="I349">
        <v>40</v>
      </c>
      <c r="J349" s="4">
        <f t="shared" si="29"/>
        <v>1.9417430147766979</v>
      </c>
      <c r="K349">
        <v>2000000</v>
      </c>
      <c r="L349">
        <v>0</v>
      </c>
      <c r="M349">
        <f t="shared" si="25"/>
        <v>0</v>
      </c>
      <c r="N349">
        <f t="shared" si="26"/>
        <v>0</v>
      </c>
      <c r="O349">
        <f t="shared" si="27"/>
        <v>0</v>
      </c>
    </row>
    <row r="350" spans="1:15" x14ac:dyDescent="0.3">
      <c r="A350">
        <v>332</v>
      </c>
      <c r="B350" s="4">
        <v>38.069866576290003</v>
      </c>
      <c r="C350" s="4">
        <v>38.054099673367503</v>
      </c>
      <c r="D350" s="2">
        <f>D349+1</f>
        <v>46461</v>
      </c>
      <c r="F350" s="4">
        <f t="shared" si="28"/>
        <v>38.069866576290003</v>
      </c>
      <c r="I350">
        <v>40</v>
      </c>
      <c r="J350" s="4">
        <f t="shared" si="29"/>
        <v>1.9301334237099965</v>
      </c>
      <c r="K350">
        <v>2000000</v>
      </c>
      <c r="L350">
        <v>0</v>
      </c>
      <c r="M350">
        <f t="shared" si="25"/>
        <v>0</v>
      </c>
      <c r="N350">
        <f t="shared" si="26"/>
        <v>0</v>
      </c>
      <c r="O350">
        <f t="shared" si="27"/>
        <v>0</v>
      </c>
    </row>
    <row r="351" spans="1:15" x14ac:dyDescent="0.3">
      <c r="A351">
        <v>333</v>
      </c>
      <c r="B351" s="4">
        <v>38.078760624433301</v>
      </c>
      <c r="C351" s="4">
        <v>38.0658526579913</v>
      </c>
      <c r="D351" s="2">
        <f>D350+1</f>
        <v>46462</v>
      </c>
      <c r="F351" s="4">
        <f t="shared" si="28"/>
        <v>38.078760624433301</v>
      </c>
      <c r="I351">
        <v>40</v>
      </c>
      <c r="J351" s="4">
        <f t="shared" si="29"/>
        <v>1.9212393755666994</v>
      </c>
      <c r="K351">
        <v>2000000</v>
      </c>
      <c r="L351">
        <v>0</v>
      </c>
      <c r="M351">
        <f t="shared" si="25"/>
        <v>0</v>
      </c>
      <c r="N351">
        <f t="shared" si="26"/>
        <v>0</v>
      </c>
      <c r="O351">
        <f t="shared" si="27"/>
        <v>0</v>
      </c>
    </row>
    <row r="352" spans="1:15" x14ac:dyDescent="0.3">
      <c r="A352">
        <v>334</v>
      </c>
      <c r="B352" s="4">
        <v>38.086982540852397</v>
      </c>
      <c r="C352" s="4">
        <v>38.078170532394097</v>
      </c>
      <c r="D352" s="2">
        <f>D351+1</f>
        <v>46463</v>
      </c>
      <c r="F352" s="4">
        <f t="shared" si="28"/>
        <v>38.086982540852397</v>
      </c>
      <c r="I352">
        <v>40</v>
      </c>
      <c r="J352" s="4">
        <f t="shared" si="29"/>
        <v>1.9130174591476035</v>
      </c>
      <c r="K352">
        <v>2000000</v>
      </c>
      <c r="L352">
        <v>0</v>
      </c>
      <c r="M352">
        <f t="shared" si="25"/>
        <v>0</v>
      </c>
      <c r="N352">
        <f t="shared" si="26"/>
        <v>0</v>
      </c>
      <c r="O352">
        <f t="shared" si="27"/>
        <v>0</v>
      </c>
    </row>
    <row r="353" spans="1:15" x14ac:dyDescent="0.3">
      <c r="A353">
        <v>335</v>
      </c>
      <c r="B353" s="4">
        <v>38.097241676118202</v>
      </c>
      <c r="C353" s="4">
        <v>38.0883451119239</v>
      </c>
      <c r="D353" s="2">
        <f>D352+1</f>
        <v>46464</v>
      </c>
      <c r="F353" s="4">
        <f t="shared" si="28"/>
        <v>38.097241676118202</v>
      </c>
      <c r="I353">
        <v>40</v>
      </c>
      <c r="J353" s="4">
        <f t="shared" si="29"/>
        <v>1.9027583238817982</v>
      </c>
      <c r="K353">
        <v>2000000</v>
      </c>
      <c r="L353">
        <v>0</v>
      </c>
      <c r="M353">
        <f t="shared" si="25"/>
        <v>0</v>
      </c>
      <c r="N353">
        <f t="shared" si="26"/>
        <v>0</v>
      </c>
      <c r="O353">
        <f t="shared" si="27"/>
        <v>0</v>
      </c>
    </row>
    <row r="354" spans="1:15" x14ac:dyDescent="0.3">
      <c r="A354">
        <v>336</v>
      </c>
      <c r="B354" s="4">
        <v>38.104963286794202</v>
      </c>
      <c r="C354" s="4">
        <v>38.1009506466159</v>
      </c>
      <c r="D354" s="2">
        <f>D353+1</f>
        <v>46465</v>
      </c>
      <c r="F354" s="4">
        <f t="shared" si="28"/>
        <v>38.104963286794202</v>
      </c>
      <c r="I354">
        <v>40</v>
      </c>
      <c r="J354" s="4">
        <f t="shared" si="29"/>
        <v>1.8950367132057977</v>
      </c>
      <c r="K354">
        <v>2000000</v>
      </c>
      <c r="L354">
        <v>0</v>
      </c>
      <c r="M354">
        <f t="shared" si="25"/>
        <v>0</v>
      </c>
      <c r="N354">
        <f t="shared" si="26"/>
        <v>0</v>
      </c>
      <c r="O354">
        <f t="shared" si="27"/>
        <v>0</v>
      </c>
    </row>
    <row r="355" spans="1:15" x14ac:dyDescent="0.3">
      <c r="A355">
        <v>337</v>
      </c>
      <c r="B355" s="4">
        <v>38.113729017778397</v>
      </c>
      <c r="C355" s="4">
        <v>38.112406756546498</v>
      </c>
      <c r="D355" s="2">
        <f>D354+1</f>
        <v>46466</v>
      </c>
      <c r="F355" s="4">
        <f t="shared" si="28"/>
        <v>38.113729017778397</v>
      </c>
      <c r="I355">
        <v>40</v>
      </c>
      <c r="J355" s="4">
        <f t="shared" si="29"/>
        <v>1.8862709822216033</v>
      </c>
      <c r="K355">
        <v>2000000</v>
      </c>
      <c r="L355">
        <v>0</v>
      </c>
      <c r="M355">
        <f t="shared" si="25"/>
        <v>0</v>
      </c>
      <c r="N355">
        <f t="shared" si="26"/>
        <v>0</v>
      </c>
      <c r="O355">
        <f t="shared" si="27"/>
        <v>0</v>
      </c>
    </row>
    <row r="356" spans="1:15" x14ac:dyDescent="0.3">
      <c r="A356">
        <v>338</v>
      </c>
      <c r="B356" s="4">
        <v>38.1244046998738</v>
      </c>
      <c r="C356" s="4">
        <v>38.121847936464803</v>
      </c>
      <c r="D356" s="2">
        <f>D355+1</f>
        <v>46467</v>
      </c>
      <c r="F356" s="4">
        <f t="shared" si="28"/>
        <v>38.1244046998738</v>
      </c>
      <c r="I356">
        <v>40</v>
      </c>
      <c r="J356" s="4">
        <f t="shared" si="29"/>
        <v>1.8755953001262</v>
      </c>
      <c r="K356">
        <v>2000000</v>
      </c>
      <c r="L356">
        <v>0</v>
      </c>
      <c r="M356">
        <f t="shared" si="25"/>
        <v>0</v>
      </c>
      <c r="N356">
        <f t="shared" si="26"/>
        <v>0</v>
      </c>
      <c r="O356">
        <f t="shared" si="27"/>
        <v>0</v>
      </c>
    </row>
    <row r="357" spans="1:15" x14ac:dyDescent="0.3">
      <c r="A357">
        <v>339</v>
      </c>
      <c r="B357" s="4">
        <v>38.1367032129573</v>
      </c>
      <c r="C357" s="4">
        <v>38.1295619583601</v>
      </c>
      <c r="D357" s="2">
        <f>D356+1</f>
        <v>46468</v>
      </c>
      <c r="F357" s="4">
        <f t="shared" si="28"/>
        <v>38.1367032129573</v>
      </c>
      <c r="I357">
        <v>40</v>
      </c>
      <c r="J357" s="4">
        <f t="shared" si="29"/>
        <v>1.8632967870426995</v>
      </c>
      <c r="K357">
        <v>2000000</v>
      </c>
      <c r="L357">
        <v>0</v>
      </c>
      <c r="M357">
        <f t="shared" si="25"/>
        <v>0</v>
      </c>
      <c r="N357">
        <f t="shared" si="26"/>
        <v>0</v>
      </c>
      <c r="O357">
        <f t="shared" si="27"/>
        <v>0</v>
      </c>
    </row>
    <row r="358" spans="1:15" x14ac:dyDescent="0.3">
      <c r="A358">
        <v>340</v>
      </c>
      <c r="B358" s="4">
        <v>38.147850515404997</v>
      </c>
      <c r="C358" s="4">
        <v>38.138323088057497</v>
      </c>
      <c r="D358" s="2">
        <f>D357+1</f>
        <v>46469</v>
      </c>
      <c r="F358" s="4">
        <f t="shared" si="28"/>
        <v>38.147850515404997</v>
      </c>
      <c r="I358">
        <v>40</v>
      </c>
      <c r="J358" s="4">
        <f t="shared" si="29"/>
        <v>1.8521494845950031</v>
      </c>
      <c r="K358">
        <v>2000000</v>
      </c>
      <c r="L358">
        <v>0</v>
      </c>
      <c r="M358">
        <f t="shared" si="25"/>
        <v>0</v>
      </c>
      <c r="N358">
        <f t="shared" si="26"/>
        <v>0</v>
      </c>
      <c r="O358">
        <f t="shared" si="27"/>
        <v>0</v>
      </c>
    </row>
    <row r="359" spans="1:15" x14ac:dyDescent="0.3">
      <c r="A359">
        <v>341</v>
      </c>
      <c r="B359" s="4">
        <v>38.153166054262897</v>
      </c>
      <c r="C359" s="4">
        <v>38.152811567565998</v>
      </c>
      <c r="D359" s="2">
        <f>D358+1</f>
        <v>46470</v>
      </c>
      <c r="F359" s="4">
        <f t="shared" si="28"/>
        <v>38.153166054262897</v>
      </c>
      <c r="I359">
        <v>40</v>
      </c>
      <c r="J359" s="4">
        <f t="shared" si="29"/>
        <v>1.846833945737103</v>
      </c>
      <c r="K359">
        <v>2000000</v>
      </c>
      <c r="L359">
        <v>0</v>
      </c>
      <c r="M359">
        <f t="shared" si="25"/>
        <v>0</v>
      </c>
      <c r="N359">
        <f t="shared" si="26"/>
        <v>0</v>
      </c>
      <c r="O359">
        <f t="shared" si="27"/>
        <v>0</v>
      </c>
    </row>
    <row r="360" spans="1:15" x14ac:dyDescent="0.3">
      <c r="A360">
        <v>342</v>
      </c>
      <c r="B360" s="4">
        <v>38.163622036242501</v>
      </c>
      <c r="C360" s="4">
        <v>38.1620571649308</v>
      </c>
      <c r="D360" s="2">
        <f>D359+1</f>
        <v>46471</v>
      </c>
      <c r="F360" s="4">
        <f t="shared" si="28"/>
        <v>38.163622036242501</v>
      </c>
      <c r="I360">
        <v>40</v>
      </c>
      <c r="J360" s="4">
        <f t="shared" si="29"/>
        <v>1.8363779637574993</v>
      </c>
      <c r="K360">
        <v>2000000</v>
      </c>
      <c r="L360">
        <v>0</v>
      </c>
      <c r="M360">
        <f t="shared" si="25"/>
        <v>0</v>
      </c>
      <c r="N360">
        <f t="shared" si="26"/>
        <v>0</v>
      </c>
      <c r="O360">
        <f t="shared" si="27"/>
        <v>0</v>
      </c>
    </row>
    <row r="361" spans="1:15" x14ac:dyDescent="0.3">
      <c r="A361">
        <v>343</v>
      </c>
      <c r="B361" s="4">
        <v>38.1735609628196</v>
      </c>
      <c r="C361" s="4">
        <v>38.1717172688207</v>
      </c>
      <c r="D361" s="2">
        <f>D360+1</f>
        <v>46472</v>
      </c>
      <c r="F361" s="4">
        <f t="shared" si="28"/>
        <v>38.1735609628196</v>
      </c>
      <c r="I361">
        <v>40</v>
      </c>
      <c r="J361" s="4">
        <f t="shared" si="29"/>
        <v>1.8264390371803998</v>
      </c>
      <c r="K361">
        <v>2000000</v>
      </c>
      <c r="L361">
        <v>0</v>
      </c>
      <c r="M361">
        <f t="shared" si="25"/>
        <v>0</v>
      </c>
      <c r="N361">
        <f t="shared" si="26"/>
        <v>0</v>
      </c>
      <c r="O361">
        <f t="shared" si="27"/>
        <v>0</v>
      </c>
    </row>
    <row r="362" spans="1:15" x14ac:dyDescent="0.3">
      <c r="A362">
        <v>344</v>
      </c>
      <c r="B362" s="4">
        <v>38.1841293285324</v>
      </c>
      <c r="C362" s="4">
        <v>38.180645950935002</v>
      </c>
      <c r="D362" s="2">
        <f>D361+1</f>
        <v>46473</v>
      </c>
      <c r="F362" s="4">
        <f t="shared" si="28"/>
        <v>38.1841293285324</v>
      </c>
      <c r="I362">
        <v>40</v>
      </c>
      <c r="J362" s="4">
        <f t="shared" si="29"/>
        <v>1.8158706714676001</v>
      </c>
      <c r="K362">
        <v>2000000</v>
      </c>
      <c r="L362">
        <v>0</v>
      </c>
      <c r="M362">
        <f t="shared" si="25"/>
        <v>0</v>
      </c>
      <c r="N362">
        <f t="shared" si="26"/>
        <v>0</v>
      </c>
      <c r="O362">
        <f t="shared" si="27"/>
        <v>0</v>
      </c>
    </row>
    <row r="363" spans="1:15" x14ac:dyDescent="0.3">
      <c r="A363">
        <v>345</v>
      </c>
      <c r="B363" s="4">
        <v>38.197039249569897</v>
      </c>
      <c r="C363" s="4">
        <v>38.187132054053798</v>
      </c>
      <c r="D363" s="2">
        <f>D362+1</f>
        <v>46474</v>
      </c>
      <c r="F363" s="4">
        <f t="shared" si="28"/>
        <v>38.197039249569897</v>
      </c>
      <c r="I363">
        <v>40</v>
      </c>
      <c r="J363" s="4">
        <f t="shared" si="29"/>
        <v>1.8029607504301026</v>
      </c>
      <c r="K363">
        <v>2000000</v>
      </c>
      <c r="L363">
        <v>0</v>
      </c>
      <c r="M363">
        <f t="shared" si="25"/>
        <v>0</v>
      </c>
      <c r="N363">
        <f t="shared" si="26"/>
        <v>0</v>
      </c>
      <c r="O363">
        <f t="shared" si="27"/>
        <v>0</v>
      </c>
    </row>
    <row r="364" spans="1:15" x14ac:dyDescent="0.3">
      <c r="A364">
        <v>346</v>
      </c>
      <c r="B364" s="4">
        <v>38.202547436172203</v>
      </c>
      <c r="C364" s="4">
        <v>38.200917675800298</v>
      </c>
      <c r="D364" s="2">
        <f>D363+1</f>
        <v>46475</v>
      </c>
      <c r="F364" s="4">
        <f t="shared" si="28"/>
        <v>38.202547436172203</v>
      </c>
      <c r="I364">
        <v>40</v>
      </c>
      <c r="J364" s="4">
        <f t="shared" si="29"/>
        <v>1.7974525638277967</v>
      </c>
      <c r="K364">
        <v>2000000</v>
      </c>
      <c r="L364">
        <v>0</v>
      </c>
      <c r="M364">
        <f t="shared" si="25"/>
        <v>0</v>
      </c>
      <c r="N364">
        <f t="shared" si="26"/>
        <v>0</v>
      </c>
      <c r="O364">
        <f t="shared" si="27"/>
        <v>0</v>
      </c>
    </row>
    <row r="365" spans="1:15" x14ac:dyDescent="0.3">
      <c r="A365">
        <v>347</v>
      </c>
      <c r="B365" s="4">
        <v>38.210961519122201</v>
      </c>
      <c r="C365" s="4">
        <v>38.211697484510097</v>
      </c>
      <c r="D365" s="2">
        <f>D364+1</f>
        <v>46476</v>
      </c>
      <c r="F365" s="4">
        <f t="shared" si="28"/>
        <v>38.210961519122201</v>
      </c>
      <c r="I365">
        <v>40</v>
      </c>
      <c r="J365" s="4">
        <f t="shared" si="29"/>
        <v>1.7890384808777995</v>
      </c>
      <c r="K365">
        <v>2000000</v>
      </c>
      <c r="L365">
        <v>0</v>
      </c>
      <c r="M365">
        <f t="shared" si="25"/>
        <v>0</v>
      </c>
      <c r="N365">
        <f t="shared" si="26"/>
        <v>0</v>
      </c>
      <c r="O365">
        <f t="shared" si="27"/>
        <v>0</v>
      </c>
    </row>
    <row r="366" spans="1:15" x14ac:dyDescent="0.3">
      <c r="A366">
        <v>348</v>
      </c>
      <c r="B366" s="4">
        <v>38.221688899522903</v>
      </c>
      <c r="C366" s="4">
        <v>38.220063992882302</v>
      </c>
      <c r="D366" s="2">
        <f>D365+1</f>
        <v>46477</v>
      </c>
      <c r="F366" s="4">
        <f t="shared" si="28"/>
        <v>38.221688899522903</v>
      </c>
      <c r="I366">
        <v>40</v>
      </c>
      <c r="J366" s="4">
        <f t="shared" si="29"/>
        <v>1.7783111004770973</v>
      </c>
      <c r="K366">
        <v>2000000</v>
      </c>
      <c r="L366">
        <v>0</v>
      </c>
      <c r="M366">
        <f t="shared" si="25"/>
        <v>0</v>
      </c>
      <c r="N366">
        <f t="shared" si="26"/>
        <v>0</v>
      </c>
      <c r="O366">
        <f t="shared" si="27"/>
        <v>0</v>
      </c>
    </row>
    <row r="367" spans="1:15" x14ac:dyDescent="0.3">
      <c r="A367">
        <v>349</v>
      </c>
      <c r="B367" s="4">
        <v>38.2280267427928</v>
      </c>
      <c r="C367" s="4">
        <v>38.232720616347301</v>
      </c>
      <c r="D367" s="2">
        <f>D366+1</f>
        <v>46478</v>
      </c>
      <c r="F367" s="4">
        <f t="shared" si="28"/>
        <v>38.2280267427928</v>
      </c>
      <c r="I367">
        <v>40</v>
      </c>
      <c r="J367" s="4">
        <f t="shared" si="29"/>
        <v>1.7719732572072004</v>
      </c>
      <c r="K367">
        <v>2000000</v>
      </c>
      <c r="L367">
        <v>0</v>
      </c>
      <c r="M367">
        <f t="shared" si="25"/>
        <v>0</v>
      </c>
      <c r="N367">
        <f t="shared" si="26"/>
        <v>0</v>
      </c>
      <c r="O367">
        <f t="shared" si="27"/>
        <v>0</v>
      </c>
    </row>
    <row r="368" spans="1:15" x14ac:dyDescent="0.3">
      <c r="A368">
        <v>350</v>
      </c>
      <c r="B368" s="4">
        <v>38.240431691690603</v>
      </c>
      <c r="C368" s="4">
        <v>38.239210831090702</v>
      </c>
      <c r="D368" s="2">
        <f>D367+1</f>
        <v>46479</v>
      </c>
      <c r="F368" s="4">
        <f t="shared" si="28"/>
        <v>38.240431691690603</v>
      </c>
      <c r="I368">
        <v>40</v>
      </c>
      <c r="J368" s="4">
        <f t="shared" si="29"/>
        <v>1.7595683083093974</v>
      </c>
      <c r="K368">
        <v>2000000</v>
      </c>
      <c r="L368">
        <v>0</v>
      </c>
      <c r="M368">
        <f t="shared" si="25"/>
        <v>0</v>
      </c>
      <c r="N368">
        <f t="shared" si="26"/>
        <v>0</v>
      </c>
      <c r="O368">
        <f t="shared" si="27"/>
        <v>0</v>
      </c>
    </row>
    <row r="369" spans="1:15" x14ac:dyDescent="0.3">
      <c r="A369">
        <v>351</v>
      </c>
      <c r="B369" s="4">
        <v>38.250562103912898</v>
      </c>
      <c r="C369" s="4">
        <v>38.247877203260899</v>
      </c>
      <c r="D369" s="2">
        <f>D368+1</f>
        <v>46480</v>
      </c>
      <c r="F369" s="4">
        <f t="shared" si="28"/>
        <v>38.250562103912898</v>
      </c>
      <c r="I369">
        <v>40</v>
      </c>
      <c r="J369" s="4">
        <f t="shared" si="29"/>
        <v>1.7494378960871018</v>
      </c>
      <c r="K369">
        <v>2000000</v>
      </c>
      <c r="L369">
        <v>0</v>
      </c>
      <c r="M369">
        <f t="shared" si="25"/>
        <v>0</v>
      </c>
      <c r="N369">
        <f t="shared" si="26"/>
        <v>0</v>
      </c>
      <c r="O369">
        <f t="shared" si="27"/>
        <v>0</v>
      </c>
    </row>
    <row r="370" spans="1:15" x14ac:dyDescent="0.3">
      <c r="A370">
        <v>352</v>
      </c>
      <c r="B370" s="4">
        <v>38.261594650898402</v>
      </c>
      <c r="C370" s="4">
        <v>38.255543533336599</v>
      </c>
      <c r="D370" s="2">
        <f>D369+1</f>
        <v>46481</v>
      </c>
      <c r="F370" s="4">
        <f t="shared" si="28"/>
        <v>38.261594650898402</v>
      </c>
      <c r="I370">
        <v>40</v>
      </c>
      <c r="J370" s="4">
        <f t="shared" si="29"/>
        <v>1.7384053491015976</v>
      </c>
      <c r="K370">
        <v>2000000</v>
      </c>
      <c r="L370">
        <v>0</v>
      </c>
      <c r="M370">
        <f t="shared" si="25"/>
        <v>0</v>
      </c>
      <c r="N370">
        <f t="shared" si="26"/>
        <v>0</v>
      </c>
      <c r="O370">
        <f t="shared" si="27"/>
        <v>0</v>
      </c>
    </row>
    <row r="371" spans="1:15" x14ac:dyDescent="0.3">
      <c r="A371">
        <v>353</v>
      </c>
      <c r="B371" s="4">
        <v>38.269739237363503</v>
      </c>
      <c r="C371" s="4">
        <v>38.265999908446901</v>
      </c>
      <c r="D371" s="2">
        <f>D370+1</f>
        <v>46482</v>
      </c>
      <c r="F371" s="4">
        <f t="shared" si="28"/>
        <v>38.269739237363503</v>
      </c>
      <c r="I371">
        <v>40</v>
      </c>
      <c r="J371" s="4">
        <f t="shared" si="29"/>
        <v>1.7302607626364974</v>
      </c>
      <c r="K371">
        <v>2000000</v>
      </c>
      <c r="L371">
        <v>0</v>
      </c>
      <c r="M371">
        <f t="shared" si="25"/>
        <v>0</v>
      </c>
      <c r="N371">
        <f t="shared" si="26"/>
        <v>0</v>
      </c>
      <c r="O371">
        <f t="shared" si="27"/>
        <v>0</v>
      </c>
    </row>
    <row r="372" spans="1:15" x14ac:dyDescent="0.3">
      <c r="A372">
        <v>354</v>
      </c>
      <c r="B372" s="4">
        <v>38.2806069780248</v>
      </c>
      <c r="C372" s="4">
        <v>38.273636412417197</v>
      </c>
      <c r="D372" s="2">
        <f>D371+1</f>
        <v>46483</v>
      </c>
      <c r="F372" s="4">
        <f t="shared" si="28"/>
        <v>38.2806069780248</v>
      </c>
      <c r="I372">
        <v>40</v>
      </c>
      <c r="J372" s="4">
        <f t="shared" si="29"/>
        <v>1.7193930219752005</v>
      </c>
      <c r="K372">
        <v>2000000</v>
      </c>
      <c r="L372">
        <v>0</v>
      </c>
      <c r="M372">
        <f t="shared" si="25"/>
        <v>0</v>
      </c>
      <c r="N372">
        <f t="shared" si="26"/>
        <v>0</v>
      </c>
      <c r="O372">
        <f t="shared" si="27"/>
        <v>0</v>
      </c>
    </row>
    <row r="373" spans="1:15" x14ac:dyDescent="0.3">
      <c r="A373">
        <v>355</v>
      </c>
      <c r="B373" s="4">
        <v>38.2919273703125</v>
      </c>
      <c r="C373" s="4">
        <v>38.280723932551297</v>
      </c>
      <c r="D373" s="2">
        <f>D372+1</f>
        <v>46484</v>
      </c>
      <c r="F373" s="4">
        <f t="shared" si="28"/>
        <v>38.2919273703125</v>
      </c>
      <c r="I373">
        <v>40</v>
      </c>
      <c r="J373" s="4">
        <f t="shared" si="29"/>
        <v>1.7080726296875</v>
      </c>
      <c r="K373">
        <v>2000000</v>
      </c>
      <c r="L373">
        <v>0</v>
      </c>
      <c r="M373">
        <f t="shared" si="25"/>
        <v>0</v>
      </c>
      <c r="N373">
        <f t="shared" si="26"/>
        <v>0</v>
      </c>
      <c r="O373">
        <f t="shared" si="27"/>
        <v>0</v>
      </c>
    </row>
    <row r="374" spans="1:15" x14ac:dyDescent="0.3">
      <c r="A374">
        <v>356</v>
      </c>
      <c r="B374" s="4">
        <v>38.301519184436003</v>
      </c>
      <c r="C374" s="4">
        <v>38.289443532785903</v>
      </c>
      <c r="D374" s="2">
        <f>D373+1</f>
        <v>46485</v>
      </c>
      <c r="F374" s="4">
        <f t="shared" si="28"/>
        <v>38.301519184436003</v>
      </c>
      <c r="I374">
        <v>40</v>
      </c>
      <c r="J374" s="4">
        <f t="shared" si="29"/>
        <v>1.6984808155639968</v>
      </c>
      <c r="K374">
        <v>2000000</v>
      </c>
      <c r="L374">
        <v>0</v>
      </c>
      <c r="M374">
        <f t="shared" si="25"/>
        <v>0</v>
      </c>
      <c r="N374">
        <f t="shared" si="26"/>
        <v>0</v>
      </c>
      <c r="O374">
        <f t="shared" si="27"/>
        <v>0</v>
      </c>
    </row>
    <row r="375" spans="1:15" x14ac:dyDescent="0.3">
      <c r="A375">
        <v>357</v>
      </c>
      <c r="B375" s="4">
        <v>38.311064047628797</v>
      </c>
      <c r="C375" s="4">
        <v>38.298114444097102</v>
      </c>
      <c r="D375" s="2">
        <f>D374+1</f>
        <v>46486</v>
      </c>
      <c r="F375" s="4">
        <f t="shared" si="28"/>
        <v>38.311064047628797</v>
      </c>
      <c r="I375">
        <v>40</v>
      </c>
      <c r="J375" s="4">
        <f t="shared" si="29"/>
        <v>1.6889359523712031</v>
      </c>
      <c r="K375">
        <v>2000000</v>
      </c>
      <c r="L375">
        <v>0</v>
      </c>
      <c r="M375">
        <f t="shared" si="25"/>
        <v>0</v>
      </c>
      <c r="N375">
        <f t="shared" si="26"/>
        <v>0</v>
      </c>
      <c r="O375">
        <f t="shared" si="27"/>
        <v>0</v>
      </c>
    </row>
    <row r="376" spans="1:15" x14ac:dyDescent="0.3">
      <c r="A376">
        <v>358</v>
      </c>
      <c r="B376" s="4">
        <v>38.320631019312003</v>
      </c>
      <c r="C376" s="4">
        <v>38.306668108107303</v>
      </c>
      <c r="D376" s="2">
        <f>D375+1</f>
        <v>46487</v>
      </c>
      <c r="F376" s="4">
        <f t="shared" si="28"/>
        <v>38.320631019312003</v>
      </c>
      <c r="I376">
        <v>40</v>
      </c>
      <c r="J376" s="4">
        <f t="shared" si="29"/>
        <v>1.6793689806879968</v>
      </c>
      <c r="K376">
        <v>2000000</v>
      </c>
      <c r="L376">
        <v>0</v>
      </c>
      <c r="M376">
        <f t="shared" si="25"/>
        <v>0</v>
      </c>
      <c r="N376">
        <f t="shared" si="26"/>
        <v>0</v>
      </c>
      <c r="O376">
        <f t="shared" si="27"/>
        <v>0</v>
      </c>
    </row>
    <row r="377" spans="1:15" x14ac:dyDescent="0.3">
      <c r="A377">
        <v>359</v>
      </c>
      <c r="B377" s="4">
        <v>38.327880664580697</v>
      </c>
      <c r="C377" s="4">
        <v>38.317443659262601</v>
      </c>
      <c r="D377" s="2">
        <f>D376+1</f>
        <v>46488</v>
      </c>
      <c r="F377" s="4">
        <f t="shared" si="28"/>
        <v>38.327880664580697</v>
      </c>
      <c r="I377">
        <v>40</v>
      </c>
      <c r="J377" s="4">
        <f t="shared" si="29"/>
        <v>1.6721193354193034</v>
      </c>
      <c r="K377">
        <v>2000000</v>
      </c>
      <c r="L377">
        <v>0</v>
      </c>
      <c r="M377">
        <f t="shared" si="25"/>
        <v>0</v>
      </c>
      <c r="N377">
        <f t="shared" si="26"/>
        <v>0</v>
      </c>
      <c r="O377">
        <f t="shared" si="27"/>
        <v>0</v>
      </c>
    </row>
    <row r="378" spans="1:15" x14ac:dyDescent="0.3">
      <c r="A378">
        <v>360</v>
      </c>
      <c r="B378" s="4">
        <v>38.336524016785503</v>
      </c>
      <c r="C378" s="4">
        <v>38.326731751552003</v>
      </c>
      <c r="D378" s="2">
        <f>D377+1</f>
        <v>46489</v>
      </c>
      <c r="F378" s="4">
        <f t="shared" si="28"/>
        <v>38.336524016785503</v>
      </c>
      <c r="I378">
        <v>40</v>
      </c>
      <c r="J378" s="4">
        <f t="shared" si="29"/>
        <v>1.6634759832144965</v>
      </c>
      <c r="K378">
        <v>2000000</v>
      </c>
      <c r="L378">
        <v>0</v>
      </c>
      <c r="M378">
        <f t="shared" si="25"/>
        <v>0</v>
      </c>
      <c r="N378">
        <f t="shared" si="26"/>
        <v>0</v>
      </c>
      <c r="O378">
        <f t="shared" si="27"/>
        <v>0</v>
      </c>
    </row>
    <row r="379" spans="1:15" x14ac:dyDescent="0.3">
      <c r="A379">
        <v>361</v>
      </c>
      <c r="B379" s="4">
        <v>38.345112110910698</v>
      </c>
      <c r="C379" s="4">
        <v>38.335981346875101</v>
      </c>
      <c r="D379" s="2">
        <f>D378+1</f>
        <v>46490</v>
      </c>
      <c r="F379" s="4">
        <f t="shared" si="28"/>
        <v>38.345112110910698</v>
      </c>
      <c r="I379">
        <v>40</v>
      </c>
      <c r="J379" s="4">
        <f t="shared" si="29"/>
        <v>1.6548878890893022</v>
      </c>
      <c r="K379">
        <v>2000000</v>
      </c>
      <c r="L379">
        <v>0</v>
      </c>
      <c r="M379">
        <f t="shared" si="25"/>
        <v>0</v>
      </c>
      <c r="N379">
        <f t="shared" si="26"/>
        <v>0</v>
      </c>
      <c r="O379">
        <f t="shared" si="27"/>
        <v>0</v>
      </c>
    </row>
    <row r="380" spans="1:15" x14ac:dyDescent="0.3">
      <c r="A380">
        <v>362</v>
      </c>
      <c r="B380" s="4">
        <v>38.354727788764301</v>
      </c>
      <c r="C380" s="4">
        <v>38.344110340624198</v>
      </c>
      <c r="D380" s="2">
        <f>D379+1</f>
        <v>46491</v>
      </c>
      <c r="F380" s="4">
        <f t="shared" si="28"/>
        <v>38.354727788764301</v>
      </c>
      <c r="I380">
        <v>40</v>
      </c>
      <c r="J380" s="4">
        <f t="shared" si="29"/>
        <v>1.6452722112356994</v>
      </c>
      <c r="K380">
        <v>2000000</v>
      </c>
      <c r="L380">
        <v>0</v>
      </c>
      <c r="M380">
        <f t="shared" si="25"/>
        <v>0</v>
      </c>
      <c r="N380">
        <f t="shared" si="26"/>
        <v>0</v>
      </c>
      <c r="O380">
        <f t="shared" si="27"/>
        <v>0</v>
      </c>
    </row>
    <row r="381" spans="1:15" x14ac:dyDescent="0.3">
      <c r="A381">
        <v>363</v>
      </c>
      <c r="B381" s="4">
        <v>38.365527406342899</v>
      </c>
      <c r="C381" s="4">
        <v>38.350963025655702</v>
      </c>
      <c r="D381" s="2">
        <f>D380+1</f>
        <v>46492</v>
      </c>
      <c r="F381" s="4">
        <f t="shared" si="28"/>
        <v>38.365527406342899</v>
      </c>
      <c r="I381">
        <v>40</v>
      </c>
      <c r="J381" s="4">
        <f t="shared" si="29"/>
        <v>1.634472593657101</v>
      </c>
      <c r="K381">
        <v>2000000</v>
      </c>
      <c r="L381">
        <v>0</v>
      </c>
      <c r="M381">
        <f t="shared" si="25"/>
        <v>0</v>
      </c>
      <c r="N381">
        <f t="shared" si="26"/>
        <v>0</v>
      </c>
      <c r="O381">
        <f t="shared" si="27"/>
        <v>0</v>
      </c>
    </row>
    <row r="382" spans="1:15" x14ac:dyDescent="0.3">
      <c r="A382">
        <v>364</v>
      </c>
      <c r="B382" s="4">
        <v>38.372149352633897</v>
      </c>
      <c r="C382" s="4">
        <v>38.361899674535699</v>
      </c>
      <c r="D382" s="2">
        <f>D381+1</f>
        <v>46493</v>
      </c>
      <c r="F382" s="4">
        <f t="shared" si="28"/>
        <v>38.372149352633897</v>
      </c>
      <c r="I382">
        <v>40</v>
      </c>
      <c r="J382" s="4">
        <f t="shared" si="29"/>
        <v>1.6278506473661025</v>
      </c>
      <c r="K382">
        <v>2000000</v>
      </c>
      <c r="L382">
        <v>0</v>
      </c>
      <c r="M382">
        <f t="shared" si="25"/>
        <v>0</v>
      </c>
      <c r="N382">
        <f t="shared" si="26"/>
        <v>0</v>
      </c>
      <c r="O382">
        <f t="shared" si="27"/>
        <v>0</v>
      </c>
    </row>
    <row r="383" spans="1:15" x14ac:dyDescent="0.3">
      <c r="A383">
        <v>365</v>
      </c>
      <c r="B383" s="4">
        <v>38.380605856311497</v>
      </c>
      <c r="C383" s="4">
        <v>38.370910491324402</v>
      </c>
      <c r="D383" s="2">
        <f>D382+1</f>
        <v>46494</v>
      </c>
      <c r="F383" s="4">
        <f t="shared" si="28"/>
        <v>38.380605856311497</v>
      </c>
      <c r="I383">
        <v>40</v>
      </c>
      <c r="J383" s="4">
        <f t="shared" si="29"/>
        <v>1.6193941436885027</v>
      </c>
      <c r="K383">
        <v>2000000</v>
      </c>
      <c r="L383">
        <v>0</v>
      </c>
      <c r="M383">
        <f t="shared" si="25"/>
        <v>0</v>
      </c>
      <c r="N383">
        <f t="shared" si="26"/>
        <v>0</v>
      </c>
      <c r="O383">
        <f t="shared" si="27"/>
        <v>0</v>
      </c>
    </row>
  </sheetData>
  <phoneticPr fontId="18" type="noConversion"/>
  <pageMargins left="0.7" right="0.7" top="0.75" bottom="0.75" header="0.3" footer="0.3"/>
  <headerFooter>
    <oddHeader>&amp;C&amp;"Arial"&amp;10&amp;K000000 General - Unencrypted&amp;1#_x000D_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FB22-8CED-4A0D-BA7D-5E036AC4DBFC}">
  <dimension ref="B1:D337"/>
  <sheetViews>
    <sheetView workbookViewId="0">
      <selection activeCell="B2" sqref="B1:B2"/>
    </sheetView>
  </sheetViews>
  <sheetFormatPr defaultRowHeight="14.4" x14ac:dyDescent="0.3"/>
  <cols>
    <col min="2" max="2" width="10.33203125" bestFit="1" customWidth="1"/>
    <col min="3" max="3" width="17" customWidth="1"/>
    <col min="4" max="4" width="14.77734375" customWidth="1"/>
  </cols>
  <sheetData>
    <row r="1" spans="2:4" x14ac:dyDescent="0.3">
      <c r="B1" t="s">
        <v>26</v>
      </c>
      <c r="C1" t="s">
        <v>27</v>
      </c>
      <c r="D1" t="s">
        <v>28</v>
      </c>
    </row>
    <row r="2" spans="2:4" x14ac:dyDescent="0.3">
      <c r="B2" s="2">
        <v>46143</v>
      </c>
      <c r="C2">
        <v>35</v>
      </c>
      <c r="D2" t="b">
        <v>1</v>
      </c>
    </row>
    <row r="3" spans="2:4" x14ac:dyDescent="0.3">
      <c r="B3" s="2">
        <v>46144</v>
      </c>
      <c r="C3">
        <v>35</v>
      </c>
      <c r="D3" t="b">
        <v>0</v>
      </c>
    </row>
    <row r="4" spans="2:4" x14ac:dyDescent="0.3">
      <c r="B4" s="2">
        <v>46145</v>
      </c>
      <c r="C4">
        <v>35</v>
      </c>
      <c r="D4" t="b">
        <v>0</v>
      </c>
    </row>
    <row r="5" spans="2:4" x14ac:dyDescent="0.3">
      <c r="B5" s="2">
        <v>46146</v>
      </c>
      <c r="C5">
        <v>35</v>
      </c>
      <c r="D5" t="b">
        <v>0</v>
      </c>
    </row>
    <row r="6" spans="2:4" x14ac:dyDescent="0.3">
      <c r="B6" s="2">
        <v>46147</v>
      </c>
      <c r="C6">
        <v>35</v>
      </c>
      <c r="D6" t="b">
        <v>0</v>
      </c>
    </row>
    <row r="7" spans="2:4" x14ac:dyDescent="0.3">
      <c r="B7" s="2">
        <v>46148</v>
      </c>
      <c r="C7">
        <v>35</v>
      </c>
      <c r="D7" t="b">
        <v>0</v>
      </c>
    </row>
    <row r="8" spans="2:4" x14ac:dyDescent="0.3">
      <c r="B8" s="2">
        <v>46149</v>
      </c>
      <c r="C8">
        <v>35</v>
      </c>
      <c r="D8" t="b">
        <v>0</v>
      </c>
    </row>
    <row r="9" spans="2:4" x14ac:dyDescent="0.3">
      <c r="B9" s="2">
        <v>46150</v>
      </c>
      <c r="C9">
        <v>35</v>
      </c>
      <c r="D9" t="b">
        <v>0</v>
      </c>
    </row>
    <row r="10" spans="2:4" x14ac:dyDescent="0.3">
      <c r="B10" s="2">
        <v>46151</v>
      </c>
      <c r="C10">
        <v>35</v>
      </c>
      <c r="D10" t="b">
        <v>0</v>
      </c>
    </row>
    <row r="11" spans="2:4" x14ac:dyDescent="0.3">
      <c r="B11" s="2">
        <v>46152</v>
      </c>
      <c r="C11">
        <v>35</v>
      </c>
      <c r="D11" t="b">
        <v>0</v>
      </c>
    </row>
    <row r="12" spans="2:4" x14ac:dyDescent="0.3">
      <c r="B12" s="2">
        <v>46153</v>
      </c>
      <c r="C12">
        <v>35</v>
      </c>
      <c r="D12" t="b">
        <v>0</v>
      </c>
    </row>
    <row r="13" spans="2:4" x14ac:dyDescent="0.3">
      <c r="B13" s="2">
        <v>46154</v>
      </c>
      <c r="C13">
        <v>35</v>
      </c>
      <c r="D13" t="b">
        <v>0</v>
      </c>
    </row>
    <row r="14" spans="2:4" x14ac:dyDescent="0.3">
      <c r="B14" s="2">
        <v>46155</v>
      </c>
      <c r="C14">
        <v>35</v>
      </c>
      <c r="D14" t="b">
        <v>0</v>
      </c>
    </row>
    <row r="15" spans="2:4" x14ac:dyDescent="0.3">
      <c r="B15" s="2">
        <v>46156</v>
      </c>
      <c r="C15">
        <v>35</v>
      </c>
      <c r="D15" t="b">
        <v>0</v>
      </c>
    </row>
    <row r="16" spans="2:4" x14ac:dyDescent="0.3">
      <c r="B16" s="2">
        <v>46157</v>
      </c>
      <c r="C16">
        <v>35</v>
      </c>
      <c r="D16" t="b">
        <v>0</v>
      </c>
    </row>
    <row r="17" spans="2:4" x14ac:dyDescent="0.3">
      <c r="B17" s="2">
        <v>46158</v>
      </c>
      <c r="C17">
        <v>35</v>
      </c>
      <c r="D17" t="b">
        <v>0</v>
      </c>
    </row>
    <row r="18" spans="2:4" x14ac:dyDescent="0.3">
      <c r="B18" s="2">
        <v>46159</v>
      </c>
      <c r="C18">
        <v>35</v>
      </c>
      <c r="D18" t="b">
        <v>0</v>
      </c>
    </row>
    <row r="19" spans="2:4" x14ac:dyDescent="0.3">
      <c r="B19" s="2">
        <v>46160</v>
      </c>
      <c r="C19">
        <v>35</v>
      </c>
      <c r="D19" t="b">
        <v>0</v>
      </c>
    </row>
    <row r="20" spans="2:4" x14ac:dyDescent="0.3">
      <c r="B20" s="2">
        <v>46161</v>
      </c>
      <c r="C20">
        <v>35</v>
      </c>
      <c r="D20" t="b">
        <v>0</v>
      </c>
    </row>
    <row r="21" spans="2:4" x14ac:dyDescent="0.3">
      <c r="B21" s="2">
        <v>46162</v>
      </c>
      <c r="C21">
        <v>35</v>
      </c>
      <c r="D21" t="b">
        <v>0</v>
      </c>
    </row>
    <row r="22" spans="2:4" x14ac:dyDescent="0.3">
      <c r="B22" s="2">
        <v>46163</v>
      </c>
      <c r="C22">
        <v>35</v>
      </c>
      <c r="D22" t="b">
        <v>0</v>
      </c>
    </row>
    <row r="23" spans="2:4" x14ac:dyDescent="0.3">
      <c r="B23" s="2">
        <v>46164</v>
      </c>
      <c r="C23">
        <v>35</v>
      </c>
      <c r="D23" t="b">
        <v>0</v>
      </c>
    </row>
    <row r="24" spans="2:4" x14ac:dyDescent="0.3">
      <c r="B24" s="2">
        <v>46165</v>
      </c>
      <c r="C24">
        <v>35</v>
      </c>
      <c r="D24" t="b">
        <v>0</v>
      </c>
    </row>
    <row r="25" spans="2:4" x14ac:dyDescent="0.3">
      <c r="B25" s="2">
        <v>46166</v>
      </c>
      <c r="C25">
        <v>35</v>
      </c>
      <c r="D25" t="b">
        <v>0</v>
      </c>
    </row>
    <row r="26" spans="2:4" x14ac:dyDescent="0.3">
      <c r="B26" s="2">
        <v>46167</v>
      </c>
      <c r="C26">
        <v>35</v>
      </c>
      <c r="D26" t="b">
        <v>0</v>
      </c>
    </row>
    <row r="27" spans="2:4" x14ac:dyDescent="0.3">
      <c r="B27" s="2">
        <v>46168</v>
      </c>
      <c r="C27">
        <v>35</v>
      </c>
      <c r="D27" t="b">
        <v>0</v>
      </c>
    </row>
    <row r="28" spans="2:4" x14ac:dyDescent="0.3">
      <c r="B28" s="2">
        <v>46169</v>
      </c>
      <c r="C28">
        <v>35</v>
      </c>
      <c r="D28" t="b">
        <v>0</v>
      </c>
    </row>
    <row r="29" spans="2:4" x14ac:dyDescent="0.3">
      <c r="B29" s="2">
        <v>46170</v>
      </c>
      <c r="C29">
        <v>35</v>
      </c>
      <c r="D29" t="b">
        <v>0</v>
      </c>
    </row>
    <row r="30" spans="2:4" x14ac:dyDescent="0.3">
      <c r="B30" s="2">
        <v>46171</v>
      </c>
      <c r="C30">
        <v>35</v>
      </c>
      <c r="D30" t="b">
        <v>0</v>
      </c>
    </row>
    <row r="31" spans="2:4" x14ac:dyDescent="0.3">
      <c r="B31" s="2">
        <v>46172</v>
      </c>
      <c r="C31">
        <v>35</v>
      </c>
      <c r="D31" t="b">
        <v>0</v>
      </c>
    </row>
    <row r="32" spans="2:4" x14ac:dyDescent="0.3">
      <c r="B32" s="2">
        <v>46173</v>
      </c>
      <c r="C32">
        <v>35</v>
      </c>
      <c r="D32" t="b">
        <v>0</v>
      </c>
    </row>
    <row r="33" spans="2:4" x14ac:dyDescent="0.3">
      <c r="B33" s="2">
        <v>46174</v>
      </c>
      <c r="C33">
        <v>35</v>
      </c>
      <c r="D33" t="b">
        <v>1</v>
      </c>
    </row>
    <row r="34" spans="2:4" x14ac:dyDescent="0.3">
      <c r="B34" s="2">
        <v>46175</v>
      </c>
      <c r="C34">
        <v>35</v>
      </c>
      <c r="D34" t="b">
        <v>0</v>
      </c>
    </row>
    <row r="35" spans="2:4" x14ac:dyDescent="0.3">
      <c r="B35" s="2">
        <v>46176</v>
      </c>
      <c r="C35">
        <v>35</v>
      </c>
      <c r="D35" t="b">
        <v>0</v>
      </c>
    </row>
    <row r="36" spans="2:4" x14ac:dyDescent="0.3">
      <c r="B36" s="2">
        <v>46177</v>
      </c>
      <c r="C36">
        <v>35</v>
      </c>
      <c r="D36" t="b">
        <v>0</v>
      </c>
    </row>
    <row r="37" spans="2:4" x14ac:dyDescent="0.3">
      <c r="B37" s="2">
        <v>46178</v>
      </c>
      <c r="C37">
        <v>35</v>
      </c>
      <c r="D37" t="b">
        <v>0</v>
      </c>
    </row>
    <row r="38" spans="2:4" x14ac:dyDescent="0.3">
      <c r="B38" s="2">
        <v>46179</v>
      </c>
      <c r="C38">
        <v>35</v>
      </c>
      <c r="D38" t="b">
        <v>0</v>
      </c>
    </row>
    <row r="39" spans="2:4" x14ac:dyDescent="0.3">
      <c r="B39" s="2">
        <v>46180</v>
      </c>
      <c r="C39">
        <v>35</v>
      </c>
      <c r="D39" t="b">
        <v>0</v>
      </c>
    </row>
    <row r="40" spans="2:4" x14ac:dyDescent="0.3">
      <c r="B40" s="2">
        <v>46181</v>
      </c>
      <c r="C40">
        <v>35</v>
      </c>
      <c r="D40" t="b">
        <v>0</v>
      </c>
    </row>
    <row r="41" spans="2:4" x14ac:dyDescent="0.3">
      <c r="B41" s="2">
        <v>46182</v>
      </c>
      <c r="C41">
        <v>35</v>
      </c>
      <c r="D41" t="b">
        <v>0</v>
      </c>
    </row>
    <row r="42" spans="2:4" x14ac:dyDescent="0.3">
      <c r="B42" s="2">
        <v>46183</v>
      </c>
      <c r="C42">
        <v>35</v>
      </c>
      <c r="D42" t="b">
        <v>0</v>
      </c>
    </row>
    <row r="43" spans="2:4" x14ac:dyDescent="0.3">
      <c r="B43" s="2">
        <v>46184</v>
      </c>
      <c r="C43">
        <v>35</v>
      </c>
      <c r="D43" t="b">
        <v>0</v>
      </c>
    </row>
    <row r="44" spans="2:4" x14ac:dyDescent="0.3">
      <c r="B44" s="2">
        <v>46185</v>
      </c>
      <c r="C44">
        <v>35</v>
      </c>
      <c r="D44" t="b">
        <v>0</v>
      </c>
    </row>
    <row r="45" spans="2:4" x14ac:dyDescent="0.3">
      <c r="B45" s="2">
        <v>46186</v>
      </c>
      <c r="C45">
        <v>35</v>
      </c>
      <c r="D45" t="b">
        <v>0</v>
      </c>
    </row>
    <row r="46" spans="2:4" x14ac:dyDescent="0.3">
      <c r="B46" s="2">
        <v>46187</v>
      </c>
      <c r="C46">
        <v>35</v>
      </c>
      <c r="D46" t="b">
        <v>0</v>
      </c>
    </row>
    <row r="47" spans="2:4" x14ac:dyDescent="0.3">
      <c r="B47" s="2">
        <v>46188</v>
      </c>
      <c r="C47">
        <v>35</v>
      </c>
      <c r="D47" t="b">
        <v>0</v>
      </c>
    </row>
    <row r="48" spans="2:4" x14ac:dyDescent="0.3">
      <c r="B48" s="2">
        <v>46189</v>
      </c>
      <c r="C48">
        <v>35</v>
      </c>
      <c r="D48" t="b">
        <v>0</v>
      </c>
    </row>
    <row r="49" spans="2:4" x14ac:dyDescent="0.3">
      <c r="B49" s="2">
        <v>46190</v>
      </c>
      <c r="C49">
        <v>35</v>
      </c>
      <c r="D49" t="b">
        <v>0</v>
      </c>
    </row>
    <row r="50" spans="2:4" x14ac:dyDescent="0.3">
      <c r="B50" s="2">
        <v>46191</v>
      </c>
      <c r="C50">
        <v>35</v>
      </c>
      <c r="D50" t="b">
        <v>0</v>
      </c>
    </row>
    <row r="51" spans="2:4" x14ac:dyDescent="0.3">
      <c r="B51" s="2">
        <v>46192</v>
      </c>
      <c r="C51">
        <v>35</v>
      </c>
      <c r="D51" t="b">
        <v>0</v>
      </c>
    </row>
    <row r="52" spans="2:4" x14ac:dyDescent="0.3">
      <c r="B52" s="2">
        <v>46193</v>
      </c>
      <c r="C52">
        <v>35</v>
      </c>
      <c r="D52" t="b">
        <v>0</v>
      </c>
    </row>
    <row r="53" spans="2:4" x14ac:dyDescent="0.3">
      <c r="B53" s="2">
        <v>46194</v>
      </c>
      <c r="C53">
        <v>35</v>
      </c>
      <c r="D53" t="b">
        <v>0</v>
      </c>
    </row>
    <row r="54" spans="2:4" x14ac:dyDescent="0.3">
      <c r="B54" s="2">
        <v>46195</v>
      </c>
      <c r="C54">
        <v>35</v>
      </c>
      <c r="D54" t="b">
        <v>0</v>
      </c>
    </row>
    <row r="55" spans="2:4" x14ac:dyDescent="0.3">
      <c r="B55" s="2">
        <v>46196</v>
      </c>
      <c r="C55">
        <v>35</v>
      </c>
      <c r="D55" t="b">
        <v>0</v>
      </c>
    </row>
    <row r="56" spans="2:4" x14ac:dyDescent="0.3">
      <c r="B56" s="2">
        <v>46197</v>
      </c>
      <c r="C56">
        <v>35</v>
      </c>
      <c r="D56" t="b">
        <v>0</v>
      </c>
    </row>
    <row r="57" spans="2:4" x14ac:dyDescent="0.3">
      <c r="B57" s="2">
        <v>46198</v>
      </c>
      <c r="C57">
        <v>35</v>
      </c>
      <c r="D57" t="b">
        <v>0</v>
      </c>
    </row>
    <row r="58" spans="2:4" x14ac:dyDescent="0.3">
      <c r="B58" s="2">
        <v>46199</v>
      </c>
      <c r="C58">
        <v>35</v>
      </c>
      <c r="D58" t="b">
        <v>0</v>
      </c>
    </row>
    <row r="59" spans="2:4" x14ac:dyDescent="0.3">
      <c r="B59" s="2">
        <v>46200</v>
      </c>
      <c r="C59">
        <v>35</v>
      </c>
      <c r="D59" t="b">
        <v>0</v>
      </c>
    </row>
    <row r="60" spans="2:4" x14ac:dyDescent="0.3">
      <c r="B60" s="2">
        <v>46201</v>
      </c>
      <c r="C60">
        <v>35</v>
      </c>
      <c r="D60" t="b">
        <v>0</v>
      </c>
    </row>
    <row r="61" spans="2:4" x14ac:dyDescent="0.3">
      <c r="B61" s="2">
        <v>46202</v>
      </c>
      <c r="C61">
        <v>35</v>
      </c>
      <c r="D61" t="b">
        <v>0</v>
      </c>
    </row>
    <row r="62" spans="2:4" x14ac:dyDescent="0.3">
      <c r="B62" s="2">
        <v>46203</v>
      </c>
      <c r="C62">
        <v>35</v>
      </c>
      <c r="D62" t="b">
        <v>0</v>
      </c>
    </row>
    <row r="63" spans="2:4" x14ac:dyDescent="0.3">
      <c r="B63" s="2">
        <v>46204</v>
      </c>
      <c r="C63">
        <v>35</v>
      </c>
      <c r="D63" t="b">
        <v>1</v>
      </c>
    </row>
    <row r="64" spans="2:4" x14ac:dyDescent="0.3">
      <c r="B64" s="2">
        <v>46205</v>
      </c>
      <c r="C64">
        <v>35</v>
      </c>
      <c r="D64" t="b">
        <v>0</v>
      </c>
    </row>
    <row r="65" spans="2:4" x14ac:dyDescent="0.3">
      <c r="B65" s="2">
        <v>46206</v>
      </c>
      <c r="C65">
        <v>35</v>
      </c>
      <c r="D65" t="b">
        <v>0</v>
      </c>
    </row>
    <row r="66" spans="2:4" x14ac:dyDescent="0.3">
      <c r="B66" s="2">
        <v>46207</v>
      </c>
      <c r="C66">
        <v>35</v>
      </c>
      <c r="D66" t="b">
        <v>0</v>
      </c>
    </row>
    <row r="67" spans="2:4" x14ac:dyDescent="0.3">
      <c r="B67" s="2">
        <v>46208</v>
      </c>
      <c r="C67">
        <v>35</v>
      </c>
      <c r="D67" t="b">
        <v>0</v>
      </c>
    </row>
    <row r="68" spans="2:4" x14ac:dyDescent="0.3">
      <c r="B68" s="2">
        <v>46209</v>
      </c>
      <c r="C68">
        <v>35</v>
      </c>
      <c r="D68" t="b">
        <v>0</v>
      </c>
    </row>
    <row r="69" spans="2:4" x14ac:dyDescent="0.3">
      <c r="B69" s="2">
        <v>46210</v>
      </c>
      <c r="C69">
        <v>35</v>
      </c>
      <c r="D69" t="b">
        <v>0</v>
      </c>
    </row>
    <row r="70" spans="2:4" x14ac:dyDescent="0.3">
      <c r="B70" s="2">
        <v>46211</v>
      </c>
      <c r="C70">
        <v>35</v>
      </c>
      <c r="D70" t="b">
        <v>0</v>
      </c>
    </row>
    <row r="71" spans="2:4" x14ac:dyDescent="0.3">
      <c r="B71" s="2">
        <v>46212</v>
      </c>
      <c r="C71">
        <v>35</v>
      </c>
      <c r="D71" t="b">
        <v>0</v>
      </c>
    </row>
    <row r="72" spans="2:4" x14ac:dyDescent="0.3">
      <c r="B72" s="2">
        <v>46213</v>
      </c>
      <c r="C72">
        <v>35</v>
      </c>
      <c r="D72" t="b">
        <v>0</v>
      </c>
    </row>
    <row r="73" spans="2:4" x14ac:dyDescent="0.3">
      <c r="B73" s="2">
        <v>46214</v>
      </c>
      <c r="C73">
        <v>35</v>
      </c>
      <c r="D73" t="b">
        <v>0</v>
      </c>
    </row>
    <row r="74" spans="2:4" x14ac:dyDescent="0.3">
      <c r="B74" s="2">
        <v>46215</v>
      </c>
      <c r="C74">
        <v>35</v>
      </c>
      <c r="D74" t="b">
        <v>0</v>
      </c>
    </row>
    <row r="75" spans="2:4" x14ac:dyDescent="0.3">
      <c r="B75" s="2">
        <v>46216</v>
      </c>
      <c r="C75">
        <v>35</v>
      </c>
      <c r="D75" t="b">
        <v>0</v>
      </c>
    </row>
    <row r="76" spans="2:4" x14ac:dyDescent="0.3">
      <c r="B76" s="2">
        <v>46217</v>
      </c>
      <c r="C76">
        <v>35</v>
      </c>
      <c r="D76" t="b">
        <v>0</v>
      </c>
    </row>
    <row r="77" spans="2:4" x14ac:dyDescent="0.3">
      <c r="B77" s="2">
        <v>46218</v>
      </c>
      <c r="C77">
        <v>35</v>
      </c>
      <c r="D77" t="b">
        <v>0</v>
      </c>
    </row>
    <row r="78" spans="2:4" x14ac:dyDescent="0.3">
      <c r="B78" s="2">
        <v>46219</v>
      </c>
      <c r="C78">
        <v>35</v>
      </c>
      <c r="D78" t="b">
        <v>0</v>
      </c>
    </row>
    <row r="79" spans="2:4" x14ac:dyDescent="0.3">
      <c r="B79" s="2">
        <v>46220</v>
      </c>
      <c r="C79">
        <v>35</v>
      </c>
      <c r="D79" t="b">
        <v>0</v>
      </c>
    </row>
    <row r="80" spans="2:4" x14ac:dyDescent="0.3">
      <c r="B80" s="2">
        <v>46221</v>
      </c>
      <c r="C80">
        <v>35</v>
      </c>
      <c r="D80" t="b">
        <v>0</v>
      </c>
    </row>
    <row r="81" spans="2:4" x14ac:dyDescent="0.3">
      <c r="B81" s="2">
        <v>46222</v>
      </c>
      <c r="C81">
        <v>35</v>
      </c>
      <c r="D81" t="b">
        <v>0</v>
      </c>
    </row>
    <row r="82" spans="2:4" x14ac:dyDescent="0.3">
      <c r="B82" s="2">
        <v>46223</v>
      </c>
      <c r="C82">
        <v>35</v>
      </c>
      <c r="D82" t="b">
        <v>0</v>
      </c>
    </row>
    <row r="83" spans="2:4" x14ac:dyDescent="0.3">
      <c r="B83" s="2">
        <v>46224</v>
      </c>
      <c r="C83">
        <v>35</v>
      </c>
      <c r="D83" t="b">
        <v>0</v>
      </c>
    </row>
    <row r="84" spans="2:4" x14ac:dyDescent="0.3">
      <c r="B84" s="2">
        <v>46225</v>
      </c>
      <c r="C84">
        <v>35</v>
      </c>
      <c r="D84" t="b">
        <v>0</v>
      </c>
    </row>
    <row r="85" spans="2:4" x14ac:dyDescent="0.3">
      <c r="B85" s="2">
        <v>46226</v>
      </c>
      <c r="C85">
        <v>35</v>
      </c>
      <c r="D85" t="b">
        <v>0</v>
      </c>
    </row>
    <row r="86" spans="2:4" x14ac:dyDescent="0.3">
      <c r="B86" s="2">
        <v>46227</v>
      </c>
      <c r="C86">
        <v>35</v>
      </c>
      <c r="D86" t="b">
        <v>0</v>
      </c>
    </row>
    <row r="87" spans="2:4" x14ac:dyDescent="0.3">
      <c r="B87" s="2">
        <v>46228</v>
      </c>
      <c r="C87">
        <v>35</v>
      </c>
      <c r="D87" t="b">
        <v>0</v>
      </c>
    </row>
    <row r="88" spans="2:4" x14ac:dyDescent="0.3">
      <c r="B88" s="2">
        <v>46229</v>
      </c>
      <c r="C88">
        <v>35</v>
      </c>
      <c r="D88" t="b">
        <v>0</v>
      </c>
    </row>
    <row r="89" spans="2:4" x14ac:dyDescent="0.3">
      <c r="B89" s="2">
        <v>46230</v>
      </c>
      <c r="C89">
        <v>35</v>
      </c>
      <c r="D89" t="b">
        <v>0</v>
      </c>
    </row>
    <row r="90" spans="2:4" x14ac:dyDescent="0.3">
      <c r="B90" s="2">
        <v>46231</v>
      </c>
      <c r="C90">
        <v>35</v>
      </c>
      <c r="D90" t="b">
        <v>0</v>
      </c>
    </row>
    <row r="91" spans="2:4" x14ac:dyDescent="0.3">
      <c r="B91" s="2">
        <v>46232</v>
      </c>
      <c r="C91">
        <v>35</v>
      </c>
      <c r="D91" t="b">
        <v>0</v>
      </c>
    </row>
    <row r="92" spans="2:4" x14ac:dyDescent="0.3">
      <c r="B92" s="2">
        <v>46233</v>
      </c>
      <c r="C92">
        <v>35</v>
      </c>
      <c r="D92" t="b">
        <v>0</v>
      </c>
    </row>
    <row r="93" spans="2:4" x14ac:dyDescent="0.3">
      <c r="B93" s="2">
        <v>46234</v>
      </c>
      <c r="C93">
        <v>35</v>
      </c>
      <c r="D93" t="b">
        <v>0</v>
      </c>
    </row>
    <row r="94" spans="2:4" x14ac:dyDescent="0.3">
      <c r="B94" s="2">
        <v>46235</v>
      </c>
      <c r="C94">
        <v>35</v>
      </c>
      <c r="D94" t="b">
        <v>1</v>
      </c>
    </row>
    <row r="95" spans="2:4" x14ac:dyDescent="0.3">
      <c r="B95" s="2">
        <v>46236</v>
      </c>
      <c r="C95">
        <v>35</v>
      </c>
      <c r="D95" t="b">
        <v>0</v>
      </c>
    </row>
    <row r="96" spans="2:4" x14ac:dyDescent="0.3">
      <c r="B96" s="2">
        <v>46237</v>
      </c>
      <c r="C96">
        <v>35</v>
      </c>
      <c r="D96" t="b">
        <v>0</v>
      </c>
    </row>
    <row r="97" spans="2:4" x14ac:dyDescent="0.3">
      <c r="B97" s="2">
        <v>46238</v>
      </c>
      <c r="C97">
        <v>35</v>
      </c>
      <c r="D97" t="b">
        <v>0</v>
      </c>
    </row>
    <row r="98" spans="2:4" x14ac:dyDescent="0.3">
      <c r="B98" s="2">
        <v>46239</v>
      </c>
      <c r="C98">
        <v>35</v>
      </c>
      <c r="D98" t="b">
        <v>0</v>
      </c>
    </row>
    <row r="99" spans="2:4" x14ac:dyDescent="0.3">
      <c r="B99" s="2">
        <v>46240</v>
      </c>
      <c r="C99">
        <v>35</v>
      </c>
      <c r="D99" t="b">
        <v>0</v>
      </c>
    </row>
    <row r="100" spans="2:4" x14ac:dyDescent="0.3">
      <c r="B100" s="2">
        <v>46241</v>
      </c>
      <c r="C100">
        <v>35</v>
      </c>
      <c r="D100" t="b">
        <v>0</v>
      </c>
    </row>
    <row r="101" spans="2:4" x14ac:dyDescent="0.3">
      <c r="B101" s="2">
        <v>46242</v>
      </c>
      <c r="C101">
        <v>35</v>
      </c>
      <c r="D101" t="b">
        <v>0</v>
      </c>
    </row>
    <row r="102" spans="2:4" x14ac:dyDescent="0.3">
      <c r="B102" s="2">
        <v>46243</v>
      </c>
      <c r="C102">
        <v>35</v>
      </c>
      <c r="D102" t="b">
        <v>0</v>
      </c>
    </row>
    <row r="103" spans="2:4" x14ac:dyDescent="0.3">
      <c r="B103" s="2">
        <v>46244</v>
      </c>
      <c r="C103">
        <v>35</v>
      </c>
      <c r="D103" t="b">
        <v>0</v>
      </c>
    </row>
    <row r="104" spans="2:4" x14ac:dyDescent="0.3">
      <c r="B104" s="2">
        <v>46245</v>
      </c>
      <c r="C104">
        <v>35</v>
      </c>
      <c r="D104" t="b">
        <v>0</v>
      </c>
    </row>
    <row r="105" spans="2:4" x14ac:dyDescent="0.3">
      <c r="B105" s="2">
        <v>46246</v>
      </c>
      <c r="C105">
        <v>35</v>
      </c>
      <c r="D105" t="b">
        <v>0</v>
      </c>
    </row>
    <row r="106" spans="2:4" x14ac:dyDescent="0.3">
      <c r="B106" s="2">
        <v>46247</v>
      </c>
      <c r="C106">
        <v>35</v>
      </c>
      <c r="D106" t="b">
        <v>0</v>
      </c>
    </row>
    <row r="107" spans="2:4" x14ac:dyDescent="0.3">
      <c r="B107" s="2">
        <v>46248</v>
      </c>
      <c r="C107">
        <v>35</v>
      </c>
      <c r="D107" t="b">
        <v>0</v>
      </c>
    </row>
    <row r="108" spans="2:4" x14ac:dyDescent="0.3">
      <c r="B108" s="2">
        <v>46249</v>
      </c>
      <c r="C108">
        <v>35</v>
      </c>
      <c r="D108" t="b">
        <v>0</v>
      </c>
    </row>
    <row r="109" spans="2:4" x14ac:dyDescent="0.3">
      <c r="B109" s="2">
        <v>46250</v>
      </c>
      <c r="C109">
        <v>35</v>
      </c>
      <c r="D109" t="b">
        <v>0</v>
      </c>
    </row>
    <row r="110" spans="2:4" x14ac:dyDescent="0.3">
      <c r="B110" s="2">
        <v>46251</v>
      </c>
      <c r="C110">
        <v>35</v>
      </c>
      <c r="D110" t="b">
        <v>0</v>
      </c>
    </row>
    <row r="111" spans="2:4" x14ac:dyDescent="0.3">
      <c r="B111" s="2">
        <v>46252</v>
      </c>
      <c r="C111">
        <v>35</v>
      </c>
      <c r="D111" t="b">
        <v>0</v>
      </c>
    </row>
    <row r="112" spans="2:4" x14ac:dyDescent="0.3">
      <c r="B112" s="2">
        <v>46253</v>
      </c>
      <c r="C112">
        <v>35</v>
      </c>
      <c r="D112" t="b">
        <v>0</v>
      </c>
    </row>
    <row r="113" spans="2:4" x14ac:dyDescent="0.3">
      <c r="B113" s="2">
        <v>46254</v>
      </c>
      <c r="C113">
        <v>35</v>
      </c>
      <c r="D113" t="b">
        <v>0</v>
      </c>
    </row>
    <row r="114" spans="2:4" x14ac:dyDescent="0.3">
      <c r="B114" s="2">
        <v>46255</v>
      </c>
      <c r="C114">
        <v>35</v>
      </c>
      <c r="D114" t="b">
        <v>0</v>
      </c>
    </row>
    <row r="115" spans="2:4" x14ac:dyDescent="0.3">
      <c r="B115" s="2">
        <v>46256</v>
      </c>
      <c r="C115">
        <v>35</v>
      </c>
      <c r="D115" t="b">
        <v>0</v>
      </c>
    </row>
    <row r="116" spans="2:4" x14ac:dyDescent="0.3">
      <c r="B116" s="2">
        <v>46257</v>
      </c>
      <c r="C116">
        <v>35</v>
      </c>
      <c r="D116" t="b">
        <v>0</v>
      </c>
    </row>
    <row r="117" spans="2:4" x14ac:dyDescent="0.3">
      <c r="B117" s="2">
        <v>46258</v>
      </c>
      <c r="C117">
        <v>35</v>
      </c>
      <c r="D117" t="b">
        <v>0</v>
      </c>
    </row>
    <row r="118" spans="2:4" x14ac:dyDescent="0.3">
      <c r="B118" s="2">
        <v>46259</v>
      </c>
      <c r="C118">
        <v>35</v>
      </c>
      <c r="D118" t="b">
        <v>0</v>
      </c>
    </row>
    <row r="119" spans="2:4" x14ac:dyDescent="0.3">
      <c r="B119" s="2">
        <v>46260</v>
      </c>
      <c r="C119">
        <v>35</v>
      </c>
      <c r="D119" t="b">
        <v>0</v>
      </c>
    </row>
    <row r="120" spans="2:4" x14ac:dyDescent="0.3">
      <c r="B120" s="2">
        <v>46261</v>
      </c>
      <c r="C120">
        <v>35</v>
      </c>
      <c r="D120" t="b">
        <v>0</v>
      </c>
    </row>
    <row r="121" spans="2:4" x14ac:dyDescent="0.3">
      <c r="B121" s="2">
        <v>46262</v>
      </c>
      <c r="C121">
        <v>35</v>
      </c>
      <c r="D121" t="b">
        <v>0</v>
      </c>
    </row>
    <row r="122" spans="2:4" x14ac:dyDescent="0.3">
      <c r="B122" s="2">
        <v>46263</v>
      </c>
      <c r="C122">
        <v>35</v>
      </c>
      <c r="D122" t="b">
        <v>0</v>
      </c>
    </row>
    <row r="123" spans="2:4" x14ac:dyDescent="0.3">
      <c r="B123" s="2">
        <v>46264</v>
      </c>
      <c r="C123">
        <v>35</v>
      </c>
      <c r="D123" t="b">
        <v>0</v>
      </c>
    </row>
    <row r="124" spans="2:4" x14ac:dyDescent="0.3">
      <c r="B124" s="2">
        <v>46265</v>
      </c>
      <c r="C124">
        <v>35</v>
      </c>
      <c r="D124" t="b">
        <v>0</v>
      </c>
    </row>
    <row r="125" spans="2:4" x14ac:dyDescent="0.3">
      <c r="B125" s="2">
        <v>46266</v>
      </c>
      <c r="C125">
        <v>35</v>
      </c>
      <c r="D125" t="b">
        <v>1</v>
      </c>
    </row>
    <row r="126" spans="2:4" x14ac:dyDescent="0.3">
      <c r="B126" s="2">
        <v>46267</v>
      </c>
      <c r="C126">
        <v>35.166699999999999</v>
      </c>
      <c r="D126" t="b">
        <v>0</v>
      </c>
    </row>
    <row r="127" spans="2:4" x14ac:dyDescent="0.3">
      <c r="B127" s="2">
        <v>46268</v>
      </c>
      <c r="C127">
        <v>35.333300000000001</v>
      </c>
      <c r="D127" t="b">
        <v>0</v>
      </c>
    </row>
    <row r="128" spans="2:4" x14ac:dyDescent="0.3">
      <c r="B128" s="2">
        <v>46269</v>
      </c>
      <c r="C128">
        <v>35.5</v>
      </c>
      <c r="D128" t="b">
        <v>0</v>
      </c>
    </row>
    <row r="129" spans="2:4" x14ac:dyDescent="0.3">
      <c r="B129" s="2">
        <v>46270</v>
      </c>
      <c r="C129">
        <v>35.666699999999999</v>
      </c>
      <c r="D129" t="b">
        <v>0</v>
      </c>
    </row>
    <row r="130" spans="2:4" x14ac:dyDescent="0.3">
      <c r="B130" s="2">
        <v>46271</v>
      </c>
      <c r="C130">
        <v>35.833300000000001</v>
      </c>
      <c r="D130" t="b">
        <v>0</v>
      </c>
    </row>
    <row r="131" spans="2:4" x14ac:dyDescent="0.3">
      <c r="B131" s="2">
        <v>46272</v>
      </c>
      <c r="C131">
        <v>36</v>
      </c>
      <c r="D131" t="b">
        <v>0</v>
      </c>
    </row>
    <row r="132" spans="2:4" x14ac:dyDescent="0.3">
      <c r="B132" s="2">
        <v>46273</v>
      </c>
      <c r="C132">
        <v>36.166699999999999</v>
      </c>
      <c r="D132" t="b">
        <v>0</v>
      </c>
    </row>
    <row r="133" spans="2:4" x14ac:dyDescent="0.3">
      <c r="B133" s="2">
        <v>46274</v>
      </c>
      <c r="C133">
        <v>36.333300000000001</v>
      </c>
      <c r="D133" t="b">
        <v>0</v>
      </c>
    </row>
    <row r="134" spans="2:4" x14ac:dyDescent="0.3">
      <c r="B134" s="2">
        <v>46275</v>
      </c>
      <c r="C134">
        <v>36.5</v>
      </c>
      <c r="D134" t="b">
        <v>0</v>
      </c>
    </row>
    <row r="135" spans="2:4" x14ac:dyDescent="0.3">
      <c r="B135" s="2">
        <v>46276</v>
      </c>
      <c r="C135">
        <v>36.666699999999999</v>
      </c>
      <c r="D135" t="b">
        <v>0</v>
      </c>
    </row>
    <row r="136" spans="2:4" x14ac:dyDescent="0.3">
      <c r="B136" s="2">
        <v>46277</v>
      </c>
      <c r="C136">
        <v>36.833300000000001</v>
      </c>
      <c r="D136" t="b">
        <v>0</v>
      </c>
    </row>
    <row r="137" spans="2:4" x14ac:dyDescent="0.3">
      <c r="B137" s="2">
        <v>46278</v>
      </c>
      <c r="C137">
        <v>37</v>
      </c>
      <c r="D137" t="b">
        <v>0</v>
      </c>
    </row>
    <row r="138" spans="2:4" x14ac:dyDescent="0.3">
      <c r="B138" s="2">
        <v>46279</v>
      </c>
      <c r="C138">
        <v>37.166699999999999</v>
      </c>
      <c r="D138" t="b">
        <v>0</v>
      </c>
    </row>
    <row r="139" spans="2:4" x14ac:dyDescent="0.3">
      <c r="B139" s="2">
        <v>46280</v>
      </c>
      <c r="C139">
        <v>37.333300000000001</v>
      </c>
      <c r="D139" t="b">
        <v>0</v>
      </c>
    </row>
    <row r="140" spans="2:4" x14ac:dyDescent="0.3">
      <c r="B140" s="2">
        <v>46281</v>
      </c>
      <c r="C140">
        <v>37.5</v>
      </c>
      <c r="D140" t="b">
        <v>0</v>
      </c>
    </row>
    <row r="141" spans="2:4" x14ac:dyDescent="0.3">
      <c r="B141" s="2">
        <v>46282</v>
      </c>
      <c r="C141">
        <v>37.666699999999999</v>
      </c>
      <c r="D141" t="b">
        <v>0</v>
      </c>
    </row>
    <row r="142" spans="2:4" x14ac:dyDescent="0.3">
      <c r="B142" s="2">
        <v>46283</v>
      </c>
      <c r="C142">
        <v>37.833300000000001</v>
      </c>
      <c r="D142" t="b">
        <v>0</v>
      </c>
    </row>
    <row r="143" spans="2:4" x14ac:dyDescent="0.3">
      <c r="B143" s="2">
        <v>46284</v>
      </c>
      <c r="C143">
        <v>38</v>
      </c>
      <c r="D143" t="b">
        <v>0</v>
      </c>
    </row>
    <row r="144" spans="2:4" x14ac:dyDescent="0.3">
      <c r="B144" s="2">
        <v>46285</v>
      </c>
      <c r="C144">
        <v>38.166699999999999</v>
      </c>
      <c r="D144" t="b">
        <v>0</v>
      </c>
    </row>
    <row r="145" spans="2:4" x14ac:dyDescent="0.3">
      <c r="B145" s="2">
        <v>46286</v>
      </c>
      <c r="C145">
        <v>38.333300000000001</v>
      </c>
      <c r="D145" t="b">
        <v>0</v>
      </c>
    </row>
    <row r="146" spans="2:4" x14ac:dyDescent="0.3">
      <c r="B146" s="2">
        <v>46287</v>
      </c>
      <c r="C146">
        <v>38.5</v>
      </c>
      <c r="D146" t="b">
        <v>0</v>
      </c>
    </row>
    <row r="147" spans="2:4" x14ac:dyDescent="0.3">
      <c r="B147" s="2">
        <v>46288</v>
      </c>
      <c r="C147">
        <v>38.666699999999999</v>
      </c>
      <c r="D147" t="b">
        <v>0</v>
      </c>
    </row>
    <row r="148" spans="2:4" x14ac:dyDescent="0.3">
      <c r="B148" s="2">
        <v>46289</v>
      </c>
      <c r="C148">
        <v>38.833300000000001</v>
      </c>
      <c r="D148" t="b">
        <v>0</v>
      </c>
    </row>
    <row r="149" spans="2:4" x14ac:dyDescent="0.3">
      <c r="B149" s="2">
        <v>46290</v>
      </c>
      <c r="C149">
        <v>39</v>
      </c>
      <c r="D149" t="b">
        <v>0</v>
      </c>
    </row>
    <row r="150" spans="2:4" x14ac:dyDescent="0.3">
      <c r="B150" s="2">
        <v>46291</v>
      </c>
      <c r="C150">
        <v>39.166699999999999</v>
      </c>
      <c r="D150" t="b">
        <v>0</v>
      </c>
    </row>
    <row r="151" spans="2:4" x14ac:dyDescent="0.3">
      <c r="B151" s="2">
        <v>46292</v>
      </c>
      <c r="C151">
        <v>39.333300000000001</v>
      </c>
      <c r="D151" t="b">
        <v>0</v>
      </c>
    </row>
    <row r="152" spans="2:4" x14ac:dyDescent="0.3">
      <c r="B152" s="2">
        <v>46293</v>
      </c>
      <c r="C152">
        <v>39.5</v>
      </c>
      <c r="D152" t="b">
        <v>0</v>
      </c>
    </row>
    <row r="153" spans="2:4" x14ac:dyDescent="0.3">
      <c r="B153" s="2">
        <v>46294</v>
      </c>
      <c r="C153">
        <v>39.666699999999999</v>
      </c>
      <c r="D153" t="b">
        <v>0</v>
      </c>
    </row>
    <row r="154" spans="2:4" x14ac:dyDescent="0.3">
      <c r="B154" s="2">
        <v>46295</v>
      </c>
      <c r="C154">
        <v>39.833300000000001</v>
      </c>
      <c r="D154" t="b">
        <v>0</v>
      </c>
    </row>
    <row r="155" spans="2:4" x14ac:dyDescent="0.3">
      <c r="B155" s="2">
        <v>46296</v>
      </c>
      <c r="C155">
        <v>40</v>
      </c>
      <c r="D155" t="b">
        <v>1</v>
      </c>
    </row>
    <row r="156" spans="2:4" x14ac:dyDescent="0.3">
      <c r="B156" s="2">
        <v>46297</v>
      </c>
      <c r="C156">
        <v>40</v>
      </c>
      <c r="D156" t="b">
        <v>0</v>
      </c>
    </row>
    <row r="157" spans="2:4" x14ac:dyDescent="0.3">
      <c r="B157" s="2">
        <v>46298</v>
      </c>
      <c r="C157">
        <v>40</v>
      </c>
      <c r="D157" t="b">
        <v>0</v>
      </c>
    </row>
    <row r="158" spans="2:4" x14ac:dyDescent="0.3">
      <c r="B158" s="2">
        <v>46299</v>
      </c>
      <c r="C158">
        <v>40</v>
      </c>
      <c r="D158" t="b">
        <v>0</v>
      </c>
    </row>
    <row r="159" spans="2:4" x14ac:dyDescent="0.3">
      <c r="B159" s="2">
        <v>46300</v>
      </c>
      <c r="C159">
        <v>40</v>
      </c>
      <c r="D159" t="b">
        <v>0</v>
      </c>
    </row>
    <row r="160" spans="2:4" x14ac:dyDescent="0.3">
      <c r="B160" s="2">
        <v>46301</v>
      </c>
      <c r="C160">
        <v>40</v>
      </c>
      <c r="D160" t="b">
        <v>0</v>
      </c>
    </row>
    <row r="161" spans="2:4" x14ac:dyDescent="0.3">
      <c r="B161" s="2">
        <v>46302</v>
      </c>
      <c r="C161">
        <v>40</v>
      </c>
      <c r="D161" t="b">
        <v>0</v>
      </c>
    </row>
    <row r="162" spans="2:4" x14ac:dyDescent="0.3">
      <c r="B162" s="2">
        <v>46303</v>
      </c>
      <c r="C162">
        <v>40</v>
      </c>
      <c r="D162" t="b">
        <v>0</v>
      </c>
    </row>
    <row r="163" spans="2:4" x14ac:dyDescent="0.3">
      <c r="B163" s="2">
        <v>46304</v>
      </c>
      <c r="C163">
        <v>40</v>
      </c>
      <c r="D163" t="b">
        <v>0</v>
      </c>
    </row>
    <row r="164" spans="2:4" x14ac:dyDescent="0.3">
      <c r="B164" s="2">
        <v>46305</v>
      </c>
      <c r="C164">
        <v>40</v>
      </c>
      <c r="D164" t="b">
        <v>0</v>
      </c>
    </row>
    <row r="165" spans="2:4" x14ac:dyDescent="0.3">
      <c r="B165" s="2">
        <v>46306</v>
      </c>
      <c r="C165">
        <v>40</v>
      </c>
      <c r="D165" t="b">
        <v>0</v>
      </c>
    </row>
    <row r="166" spans="2:4" x14ac:dyDescent="0.3">
      <c r="B166" s="2">
        <v>46307</v>
      </c>
      <c r="C166">
        <v>40</v>
      </c>
      <c r="D166" t="b">
        <v>0</v>
      </c>
    </row>
    <row r="167" spans="2:4" x14ac:dyDescent="0.3">
      <c r="B167" s="2">
        <v>46308</v>
      </c>
      <c r="C167">
        <v>40</v>
      </c>
      <c r="D167" t="b">
        <v>0</v>
      </c>
    </row>
    <row r="168" spans="2:4" x14ac:dyDescent="0.3">
      <c r="B168" s="2">
        <v>46309</v>
      </c>
      <c r="C168">
        <v>40</v>
      </c>
      <c r="D168" t="b">
        <v>0</v>
      </c>
    </row>
    <row r="169" spans="2:4" x14ac:dyDescent="0.3">
      <c r="B169" s="2">
        <v>46310</v>
      </c>
      <c r="C169">
        <v>40</v>
      </c>
      <c r="D169" t="b">
        <v>0</v>
      </c>
    </row>
    <row r="170" spans="2:4" x14ac:dyDescent="0.3">
      <c r="B170" s="2">
        <v>46311</v>
      </c>
      <c r="C170">
        <v>40</v>
      </c>
      <c r="D170" t="b">
        <v>0</v>
      </c>
    </row>
    <row r="171" spans="2:4" x14ac:dyDescent="0.3">
      <c r="B171" s="2">
        <v>46312</v>
      </c>
      <c r="C171">
        <v>40</v>
      </c>
      <c r="D171" t="b">
        <v>0</v>
      </c>
    </row>
    <row r="172" spans="2:4" x14ac:dyDescent="0.3">
      <c r="B172" s="2">
        <v>46313</v>
      </c>
      <c r="C172">
        <v>40</v>
      </c>
      <c r="D172" t="b">
        <v>0</v>
      </c>
    </row>
    <row r="173" spans="2:4" x14ac:dyDescent="0.3">
      <c r="B173" s="2">
        <v>46314</v>
      </c>
      <c r="C173">
        <v>40</v>
      </c>
      <c r="D173" t="b">
        <v>0</v>
      </c>
    </row>
    <row r="174" spans="2:4" x14ac:dyDescent="0.3">
      <c r="B174" s="2">
        <v>46315</v>
      </c>
      <c r="C174">
        <v>40</v>
      </c>
      <c r="D174" t="b">
        <v>0</v>
      </c>
    </row>
    <row r="175" spans="2:4" x14ac:dyDescent="0.3">
      <c r="B175" s="2">
        <v>46316</v>
      </c>
      <c r="C175">
        <v>40</v>
      </c>
      <c r="D175" t="b">
        <v>0</v>
      </c>
    </row>
    <row r="176" spans="2:4" x14ac:dyDescent="0.3">
      <c r="B176" s="2">
        <v>46317</v>
      </c>
      <c r="C176">
        <v>40</v>
      </c>
      <c r="D176" t="b">
        <v>0</v>
      </c>
    </row>
    <row r="177" spans="2:4" x14ac:dyDescent="0.3">
      <c r="B177" s="2">
        <v>46318</v>
      </c>
      <c r="C177">
        <v>40</v>
      </c>
      <c r="D177" t="b">
        <v>0</v>
      </c>
    </row>
    <row r="178" spans="2:4" x14ac:dyDescent="0.3">
      <c r="B178" s="2">
        <v>46319</v>
      </c>
      <c r="C178">
        <v>40</v>
      </c>
      <c r="D178" t="b">
        <v>0</v>
      </c>
    </row>
    <row r="179" spans="2:4" x14ac:dyDescent="0.3">
      <c r="B179" s="2">
        <v>46320</v>
      </c>
      <c r="C179">
        <v>40</v>
      </c>
      <c r="D179" t="b">
        <v>0</v>
      </c>
    </row>
    <row r="180" spans="2:4" x14ac:dyDescent="0.3">
      <c r="B180" s="2">
        <v>46321</v>
      </c>
      <c r="C180">
        <v>40</v>
      </c>
      <c r="D180" t="b">
        <v>0</v>
      </c>
    </row>
    <row r="181" spans="2:4" x14ac:dyDescent="0.3">
      <c r="B181" s="2">
        <v>46322</v>
      </c>
      <c r="C181">
        <v>40</v>
      </c>
      <c r="D181" t="b">
        <v>0</v>
      </c>
    </row>
    <row r="182" spans="2:4" x14ac:dyDescent="0.3">
      <c r="B182" s="2">
        <v>46323</v>
      </c>
      <c r="C182">
        <v>40</v>
      </c>
      <c r="D182" t="b">
        <v>0</v>
      </c>
    </row>
    <row r="183" spans="2:4" x14ac:dyDescent="0.3">
      <c r="B183" s="2">
        <v>46324</v>
      </c>
      <c r="C183">
        <v>40</v>
      </c>
      <c r="D183" t="b">
        <v>0</v>
      </c>
    </row>
    <row r="184" spans="2:4" x14ac:dyDescent="0.3">
      <c r="B184" s="2">
        <v>46325</v>
      </c>
      <c r="C184">
        <v>40</v>
      </c>
      <c r="D184" t="b">
        <v>0</v>
      </c>
    </row>
    <row r="185" spans="2:4" x14ac:dyDescent="0.3">
      <c r="B185" s="2">
        <v>46326</v>
      </c>
      <c r="C185">
        <v>40</v>
      </c>
      <c r="D185" t="b">
        <v>0</v>
      </c>
    </row>
    <row r="186" spans="2:4" x14ac:dyDescent="0.3">
      <c r="B186" s="2">
        <v>46327</v>
      </c>
      <c r="C186">
        <v>40</v>
      </c>
      <c r="D186" t="b">
        <v>1</v>
      </c>
    </row>
    <row r="187" spans="2:4" x14ac:dyDescent="0.3">
      <c r="B187" s="2">
        <v>46328</v>
      </c>
      <c r="C187">
        <v>40</v>
      </c>
      <c r="D187" t="b">
        <v>0</v>
      </c>
    </row>
    <row r="188" spans="2:4" x14ac:dyDescent="0.3">
      <c r="B188" s="2">
        <v>46329</v>
      </c>
      <c r="C188">
        <v>40</v>
      </c>
      <c r="D188" t="b">
        <v>0</v>
      </c>
    </row>
    <row r="189" spans="2:4" x14ac:dyDescent="0.3">
      <c r="B189" s="2">
        <v>46330</v>
      </c>
      <c r="C189">
        <v>40</v>
      </c>
      <c r="D189" t="b">
        <v>0</v>
      </c>
    </row>
    <row r="190" spans="2:4" x14ac:dyDescent="0.3">
      <c r="B190" s="2">
        <v>46331</v>
      </c>
      <c r="C190">
        <v>40</v>
      </c>
      <c r="D190" t="b">
        <v>0</v>
      </c>
    </row>
    <row r="191" spans="2:4" x14ac:dyDescent="0.3">
      <c r="B191" s="2">
        <v>46332</v>
      </c>
      <c r="C191">
        <v>40</v>
      </c>
      <c r="D191" t="b">
        <v>0</v>
      </c>
    </row>
    <row r="192" spans="2:4" x14ac:dyDescent="0.3">
      <c r="B192" s="2">
        <v>46333</v>
      </c>
      <c r="C192">
        <v>40</v>
      </c>
      <c r="D192" t="b">
        <v>0</v>
      </c>
    </row>
    <row r="193" spans="2:4" x14ac:dyDescent="0.3">
      <c r="B193" s="2">
        <v>46334</v>
      </c>
      <c r="C193">
        <v>40</v>
      </c>
      <c r="D193" t="b">
        <v>0</v>
      </c>
    </row>
    <row r="194" spans="2:4" x14ac:dyDescent="0.3">
      <c r="B194" s="2">
        <v>46335</v>
      </c>
      <c r="C194">
        <v>40</v>
      </c>
      <c r="D194" t="b">
        <v>0</v>
      </c>
    </row>
    <row r="195" spans="2:4" x14ac:dyDescent="0.3">
      <c r="B195" s="2">
        <v>46336</v>
      </c>
      <c r="C195">
        <v>40</v>
      </c>
      <c r="D195" t="b">
        <v>0</v>
      </c>
    </row>
    <row r="196" spans="2:4" x14ac:dyDescent="0.3">
      <c r="B196" s="2">
        <v>46337</v>
      </c>
      <c r="C196">
        <v>40</v>
      </c>
      <c r="D196" t="b">
        <v>0</v>
      </c>
    </row>
    <row r="197" spans="2:4" x14ac:dyDescent="0.3">
      <c r="B197" s="2">
        <v>46338</v>
      </c>
      <c r="C197">
        <v>40</v>
      </c>
      <c r="D197" t="b">
        <v>0</v>
      </c>
    </row>
    <row r="198" spans="2:4" x14ac:dyDescent="0.3">
      <c r="B198" s="2">
        <v>46339</v>
      </c>
      <c r="C198">
        <v>40</v>
      </c>
      <c r="D198" t="b">
        <v>0</v>
      </c>
    </row>
    <row r="199" spans="2:4" x14ac:dyDescent="0.3">
      <c r="B199" s="2">
        <v>46340</v>
      </c>
      <c r="C199">
        <v>40</v>
      </c>
      <c r="D199" t="b">
        <v>0</v>
      </c>
    </row>
    <row r="200" spans="2:4" x14ac:dyDescent="0.3">
      <c r="B200" s="2">
        <v>46341</v>
      </c>
      <c r="C200">
        <v>40</v>
      </c>
      <c r="D200" t="b">
        <v>0</v>
      </c>
    </row>
    <row r="201" spans="2:4" x14ac:dyDescent="0.3">
      <c r="B201" s="2">
        <v>46342</v>
      </c>
      <c r="C201">
        <v>40</v>
      </c>
      <c r="D201" t="b">
        <v>0</v>
      </c>
    </row>
    <row r="202" spans="2:4" x14ac:dyDescent="0.3">
      <c r="B202" s="2">
        <v>46343</v>
      </c>
      <c r="C202">
        <v>40</v>
      </c>
      <c r="D202" t="b">
        <v>0</v>
      </c>
    </row>
    <row r="203" spans="2:4" x14ac:dyDescent="0.3">
      <c r="B203" s="2">
        <v>46344</v>
      </c>
      <c r="C203">
        <v>40</v>
      </c>
      <c r="D203" t="b">
        <v>0</v>
      </c>
    </row>
    <row r="204" spans="2:4" x14ac:dyDescent="0.3">
      <c r="B204" s="2">
        <v>46345</v>
      </c>
      <c r="C204">
        <v>40</v>
      </c>
      <c r="D204" t="b">
        <v>0</v>
      </c>
    </row>
    <row r="205" spans="2:4" x14ac:dyDescent="0.3">
      <c r="B205" s="2">
        <v>46346</v>
      </c>
      <c r="C205">
        <v>40</v>
      </c>
      <c r="D205" t="b">
        <v>0</v>
      </c>
    </row>
    <row r="206" spans="2:4" x14ac:dyDescent="0.3">
      <c r="B206" s="2">
        <v>46347</v>
      </c>
      <c r="C206">
        <v>40</v>
      </c>
      <c r="D206" t="b">
        <v>0</v>
      </c>
    </row>
    <row r="207" spans="2:4" x14ac:dyDescent="0.3">
      <c r="B207" s="2">
        <v>46348</v>
      </c>
      <c r="C207">
        <v>40</v>
      </c>
      <c r="D207" t="b">
        <v>0</v>
      </c>
    </row>
    <row r="208" spans="2:4" x14ac:dyDescent="0.3">
      <c r="B208" s="2">
        <v>46349</v>
      </c>
      <c r="C208">
        <v>40</v>
      </c>
      <c r="D208" t="b">
        <v>0</v>
      </c>
    </row>
    <row r="209" spans="2:4" x14ac:dyDescent="0.3">
      <c r="B209" s="2">
        <v>46350</v>
      </c>
      <c r="C209">
        <v>40</v>
      </c>
      <c r="D209" t="b">
        <v>0</v>
      </c>
    </row>
    <row r="210" spans="2:4" x14ac:dyDescent="0.3">
      <c r="B210" s="2">
        <v>46351</v>
      </c>
      <c r="C210">
        <v>40</v>
      </c>
      <c r="D210" t="b">
        <v>0</v>
      </c>
    </row>
    <row r="211" spans="2:4" x14ac:dyDescent="0.3">
      <c r="B211" s="2">
        <v>46352</v>
      </c>
      <c r="C211">
        <v>40</v>
      </c>
      <c r="D211" t="b">
        <v>0</v>
      </c>
    </row>
    <row r="212" spans="2:4" x14ac:dyDescent="0.3">
      <c r="B212" s="2">
        <v>46353</v>
      </c>
      <c r="C212">
        <v>40</v>
      </c>
      <c r="D212" t="b">
        <v>0</v>
      </c>
    </row>
    <row r="213" spans="2:4" x14ac:dyDescent="0.3">
      <c r="B213" s="2">
        <v>46354</v>
      </c>
      <c r="C213">
        <v>40</v>
      </c>
      <c r="D213" t="b">
        <v>0</v>
      </c>
    </row>
    <row r="214" spans="2:4" x14ac:dyDescent="0.3">
      <c r="B214" s="2">
        <v>46355</v>
      </c>
      <c r="C214">
        <v>40</v>
      </c>
      <c r="D214" t="b">
        <v>0</v>
      </c>
    </row>
    <row r="215" spans="2:4" x14ac:dyDescent="0.3">
      <c r="B215" s="2">
        <v>46356</v>
      </c>
      <c r="C215">
        <v>40</v>
      </c>
      <c r="D215" t="b">
        <v>0</v>
      </c>
    </row>
    <row r="216" spans="2:4" x14ac:dyDescent="0.3">
      <c r="B216" s="2">
        <v>46357</v>
      </c>
      <c r="C216">
        <v>40</v>
      </c>
      <c r="D216" t="b">
        <v>1</v>
      </c>
    </row>
    <row r="217" spans="2:4" x14ac:dyDescent="0.3">
      <c r="B217" s="2">
        <v>46358</v>
      </c>
      <c r="C217">
        <v>40</v>
      </c>
      <c r="D217" t="b">
        <v>0</v>
      </c>
    </row>
    <row r="218" spans="2:4" x14ac:dyDescent="0.3">
      <c r="B218" s="2">
        <v>46359</v>
      </c>
      <c r="C218">
        <v>40</v>
      </c>
      <c r="D218" t="b">
        <v>0</v>
      </c>
    </row>
    <row r="219" spans="2:4" x14ac:dyDescent="0.3">
      <c r="B219" s="2">
        <v>46360</v>
      </c>
      <c r="C219">
        <v>40</v>
      </c>
      <c r="D219" t="b">
        <v>0</v>
      </c>
    </row>
    <row r="220" spans="2:4" x14ac:dyDescent="0.3">
      <c r="B220" s="2">
        <v>46361</v>
      </c>
      <c r="C220">
        <v>40</v>
      </c>
      <c r="D220" t="b">
        <v>0</v>
      </c>
    </row>
    <row r="221" spans="2:4" x14ac:dyDescent="0.3">
      <c r="B221" s="2">
        <v>46362</v>
      </c>
      <c r="C221">
        <v>40</v>
      </c>
      <c r="D221" t="b">
        <v>0</v>
      </c>
    </row>
    <row r="222" spans="2:4" x14ac:dyDescent="0.3">
      <c r="B222" s="2">
        <v>46363</v>
      </c>
      <c r="C222">
        <v>40</v>
      </c>
      <c r="D222" t="b">
        <v>0</v>
      </c>
    </row>
    <row r="223" spans="2:4" x14ac:dyDescent="0.3">
      <c r="B223" s="2">
        <v>46364</v>
      </c>
      <c r="C223">
        <v>40</v>
      </c>
      <c r="D223" t="b">
        <v>0</v>
      </c>
    </row>
    <row r="224" spans="2:4" x14ac:dyDescent="0.3">
      <c r="B224" s="2">
        <v>46365</v>
      </c>
      <c r="C224">
        <v>40</v>
      </c>
      <c r="D224" t="b">
        <v>0</v>
      </c>
    </row>
    <row r="225" spans="2:4" x14ac:dyDescent="0.3">
      <c r="B225" s="2">
        <v>46366</v>
      </c>
      <c r="C225">
        <v>40</v>
      </c>
      <c r="D225" t="b">
        <v>0</v>
      </c>
    </row>
    <row r="226" spans="2:4" x14ac:dyDescent="0.3">
      <c r="B226" s="2">
        <v>46367</v>
      </c>
      <c r="C226">
        <v>40</v>
      </c>
      <c r="D226" t="b">
        <v>0</v>
      </c>
    </row>
    <row r="227" spans="2:4" x14ac:dyDescent="0.3">
      <c r="B227" s="2">
        <v>46368</v>
      </c>
      <c r="C227">
        <v>40</v>
      </c>
      <c r="D227" t="b">
        <v>0</v>
      </c>
    </row>
    <row r="228" spans="2:4" x14ac:dyDescent="0.3">
      <c r="B228" s="2">
        <v>46369</v>
      </c>
      <c r="C228">
        <v>40</v>
      </c>
      <c r="D228" t="b">
        <v>0</v>
      </c>
    </row>
    <row r="229" spans="2:4" x14ac:dyDescent="0.3">
      <c r="B229" s="2">
        <v>46370</v>
      </c>
      <c r="C229">
        <v>40</v>
      </c>
      <c r="D229" t="b">
        <v>0</v>
      </c>
    </row>
    <row r="230" spans="2:4" x14ac:dyDescent="0.3">
      <c r="B230" s="2">
        <v>46371</v>
      </c>
      <c r="C230">
        <v>40</v>
      </c>
      <c r="D230" t="b">
        <v>0</v>
      </c>
    </row>
    <row r="231" spans="2:4" x14ac:dyDescent="0.3">
      <c r="B231" s="2">
        <v>46372</v>
      </c>
      <c r="C231">
        <v>40</v>
      </c>
      <c r="D231" t="b">
        <v>0</v>
      </c>
    </row>
    <row r="232" spans="2:4" x14ac:dyDescent="0.3">
      <c r="B232" s="2">
        <v>46373</v>
      </c>
      <c r="C232">
        <v>40</v>
      </c>
      <c r="D232" t="b">
        <v>0</v>
      </c>
    </row>
    <row r="233" spans="2:4" x14ac:dyDescent="0.3">
      <c r="B233" s="2">
        <v>46374</v>
      </c>
      <c r="C233">
        <v>40</v>
      </c>
      <c r="D233" t="b">
        <v>0</v>
      </c>
    </row>
    <row r="234" spans="2:4" x14ac:dyDescent="0.3">
      <c r="B234" s="2">
        <v>46375</v>
      </c>
      <c r="C234">
        <v>40</v>
      </c>
      <c r="D234" t="b">
        <v>0</v>
      </c>
    </row>
    <row r="235" spans="2:4" x14ac:dyDescent="0.3">
      <c r="B235" s="2">
        <v>46376</v>
      </c>
      <c r="C235">
        <v>40</v>
      </c>
      <c r="D235" t="b">
        <v>0</v>
      </c>
    </row>
    <row r="236" spans="2:4" x14ac:dyDescent="0.3">
      <c r="B236" s="2">
        <v>46377</v>
      </c>
      <c r="C236">
        <v>40</v>
      </c>
      <c r="D236" t="b">
        <v>0</v>
      </c>
    </row>
    <row r="237" spans="2:4" x14ac:dyDescent="0.3">
      <c r="B237" s="2">
        <v>46378</v>
      </c>
      <c r="C237">
        <v>40</v>
      </c>
      <c r="D237" t="b">
        <v>0</v>
      </c>
    </row>
    <row r="238" spans="2:4" x14ac:dyDescent="0.3">
      <c r="B238" s="2">
        <v>46379</v>
      </c>
      <c r="C238">
        <v>40</v>
      </c>
      <c r="D238" t="b">
        <v>0</v>
      </c>
    </row>
    <row r="239" spans="2:4" x14ac:dyDescent="0.3">
      <c r="B239" s="2">
        <v>46380</v>
      </c>
      <c r="C239">
        <v>40</v>
      </c>
      <c r="D239" t="b">
        <v>0</v>
      </c>
    </row>
    <row r="240" spans="2:4" x14ac:dyDescent="0.3">
      <c r="B240" s="2">
        <v>46381</v>
      </c>
      <c r="C240">
        <v>40</v>
      </c>
      <c r="D240" t="b">
        <v>0</v>
      </c>
    </row>
    <row r="241" spans="2:4" x14ac:dyDescent="0.3">
      <c r="B241" s="2">
        <v>46382</v>
      </c>
      <c r="C241">
        <v>40</v>
      </c>
      <c r="D241" t="b">
        <v>0</v>
      </c>
    </row>
    <row r="242" spans="2:4" x14ac:dyDescent="0.3">
      <c r="B242" s="2">
        <v>46383</v>
      </c>
      <c r="C242">
        <v>40</v>
      </c>
      <c r="D242" t="b">
        <v>0</v>
      </c>
    </row>
    <row r="243" spans="2:4" x14ac:dyDescent="0.3">
      <c r="B243" s="2">
        <v>46384</v>
      </c>
      <c r="C243">
        <v>40</v>
      </c>
      <c r="D243" t="b">
        <v>0</v>
      </c>
    </row>
    <row r="244" spans="2:4" x14ac:dyDescent="0.3">
      <c r="B244" s="2">
        <v>46385</v>
      </c>
      <c r="C244">
        <v>40</v>
      </c>
      <c r="D244" t="b">
        <v>0</v>
      </c>
    </row>
    <row r="245" spans="2:4" x14ac:dyDescent="0.3">
      <c r="B245" s="2">
        <v>46386</v>
      </c>
      <c r="C245">
        <v>40</v>
      </c>
      <c r="D245" t="b">
        <v>0</v>
      </c>
    </row>
    <row r="246" spans="2:4" x14ac:dyDescent="0.3">
      <c r="B246" s="2">
        <v>46387</v>
      </c>
      <c r="C246">
        <v>40</v>
      </c>
      <c r="D246" t="b">
        <v>0</v>
      </c>
    </row>
    <row r="247" spans="2:4" x14ac:dyDescent="0.3">
      <c r="B247" s="2">
        <v>46388</v>
      </c>
      <c r="C247">
        <v>40</v>
      </c>
      <c r="D247" t="b">
        <v>1</v>
      </c>
    </row>
    <row r="248" spans="2:4" x14ac:dyDescent="0.3">
      <c r="B248" s="2">
        <v>46389</v>
      </c>
      <c r="C248">
        <v>40</v>
      </c>
      <c r="D248" t="b">
        <v>0</v>
      </c>
    </row>
    <row r="249" spans="2:4" x14ac:dyDescent="0.3">
      <c r="B249" s="2">
        <v>46390</v>
      </c>
      <c r="C249">
        <v>40</v>
      </c>
      <c r="D249" t="b">
        <v>0</v>
      </c>
    </row>
    <row r="250" spans="2:4" x14ac:dyDescent="0.3">
      <c r="B250" s="2">
        <v>46391</v>
      </c>
      <c r="C250">
        <v>40</v>
      </c>
      <c r="D250" t="b">
        <v>0</v>
      </c>
    </row>
    <row r="251" spans="2:4" x14ac:dyDescent="0.3">
      <c r="B251" s="2">
        <v>46392</v>
      </c>
      <c r="C251">
        <v>40</v>
      </c>
      <c r="D251" t="b">
        <v>0</v>
      </c>
    </row>
    <row r="252" spans="2:4" x14ac:dyDescent="0.3">
      <c r="B252" s="2">
        <v>46393</v>
      </c>
      <c r="C252">
        <v>40</v>
      </c>
      <c r="D252" t="b">
        <v>0</v>
      </c>
    </row>
    <row r="253" spans="2:4" x14ac:dyDescent="0.3">
      <c r="B253" s="2">
        <v>46394</v>
      </c>
      <c r="C253">
        <v>40</v>
      </c>
      <c r="D253" t="b">
        <v>0</v>
      </c>
    </row>
    <row r="254" spans="2:4" x14ac:dyDescent="0.3">
      <c r="B254" s="2">
        <v>46395</v>
      </c>
      <c r="C254">
        <v>40</v>
      </c>
      <c r="D254" t="b">
        <v>0</v>
      </c>
    </row>
    <row r="255" spans="2:4" x14ac:dyDescent="0.3">
      <c r="B255" s="2">
        <v>46396</v>
      </c>
      <c r="C255">
        <v>40</v>
      </c>
      <c r="D255" t="b">
        <v>0</v>
      </c>
    </row>
    <row r="256" spans="2:4" x14ac:dyDescent="0.3">
      <c r="B256" s="2">
        <v>46397</v>
      </c>
      <c r="C256">
        <v>40</v>
      </c>
      <c r="D256" t="b">
        <v>0</v>
      </c>
    </row>
    <row r="257" spans="2:4" x14ac:dyDescent="0.3">
      <c r="B257" s="2">
        <v>46398</v>
      </c>
      <c r="C257">
        <v>40</v>
      </c>
      <c r="D257" t="b">
        <v>0</v>
      </c>
    </row>
    <row r="258" spans="2:4" x14ac:dyDescent="0.3">
      <c r="B258" s="2">
        <v>46399</v>
      </c>
      <c r="C258">
        <v>40</v>
      </c>
      <c r="D258" t="b">
        <v>0</v>
      </c>
    </row>
    <row r="259" spans="2:4" x14ac:dyDescent="0.3">
      <c r="B259" s="2">
        <v>46400</v>
      </c>
      <c r="C259">
        <v>40</v>
      </c>
      <c r="D259" t="b">
        <v>0</v>
      </c>
    </row>
    <row r="260" spans="2:4" x14ac:dyDescent="0.3">
      <c r="B260" s="2">
        <v>46401</v>
      </c>
      <c r="C260">
        <v>40</v>
      </c>
      <c r="D260" t="b">
        <v>0</v>
      </c>
    </row>
    <row r="261" spans="2:4" x14ac:dyDescent="0.3">
      <c r="B261" s="2">
        <v>46402</v>
      </c>
      <c r="C261">
        <v>40</v>
      </c>
      <c r="D261" t="b">
        <v>0</v>
      </c>
    </row>
    <row r="262" spans="2:4" x14ac:dyDescent="0.3">
      <c r="B262" s="2">
        <v>46403</v>
      </c>
      <c r="C262">
        <v>40</v>
      </c>
      <c r="D262" t="b">
        <v>0</v>
      </c>
    </row>
    <row r="263" spans="2:4" x14ac:dyDescent="0.3">
      <c r="B263" s="2">
        <v>46404</v>
      </c>
      <c r="C263">
        <v>40</v>
      </c>
      <c r="D263" t="b">
        <v>0</v>
      </c>
    </row>
    <row r="264" spans="2:4" x14ac:dyDescent="0.3">
      <c r="B264" s="2">
        <v>46405</v>
      </c>
      <c r="C264">
        <v>40</v>
      </c>
      <c r="D264" t="b">
        <v>0</v>
      </c>
    </row>
    <row r="265" spans="2:4" x14ac:dyDescent="0.3">
      <c r="B265" s="2">
        <v>46406</v>
      </c>
      <c r="C265">
        <v>40</v>
      </c>
      <c r="D265" t="b">
        <v>0</v>
      </c>
    </row>
    <row r="266" spans="2:4" x14ac:dyDescent="0.3">
      <c r="B266" s="2">
        <v>46407</v>
      </c>
      <c r="C266">
        <v>40</v>
      </c>
      <c r="D266" t="b">
        <v>0</v>
      </c>
    </row>
    <row r="267" spans="2:4" x14ac:dyDescent="0.3">
      <c r="B267" s="2">
        <v>46408</v>
      </c>
      <c r="C267">
        <v>40</v>
      </c>
      <c r="D267" t="b">
        <v>0</v>
      </c>
    </row>
    <row r="268" spans="2:4" x14ac:dyDescent="0.3">
      <c r="B268" s="2">
        <v>46409</v>
      </c>
      <c r="C268">
        <v>40</v>
      </c>
      <c r="D268" t="b">
        <v>0</v>
      </c>
    </row>
    <row r="269" spans="2:4" x14ac:dyDescent="0.3">
      <c r="B269" s="2">
        <v>46410</v>
      </c>
      <c r="C269">
        <v>40</v>
      </c>
      <c r="D269" t="b">
        <v>0</v>
      </c>
    </row>
    <row r="270" spans="2:4" x14ac:dyDescent="0.3">
      <c r="B270" s="2">
        <v>46411</v>
      </c>
      <c r="C270">
        <v>40</v>
      </c>
      <c r="D270" t="b">
        <v>0</v>
      </c>
    </row>
    <row r="271" spans="2:4" x14ac:dyDescent="0.3">
      <c r="B271" s="2">
        <v>46412</v>
      </c>
      <c r="C271">
        <v>40</v>
      </c>
      <c r="D271" t="b">
        <v>0</v>
      </c>
    </row>
    <row r="272" spans="2:4" x14ac:dyDescent="0.3">
      <c r="B272" s="2">
        <v>46413</v>
      </c>
      <c r="C272">
        <v>40</v>
      </c>
      <c r="D272" t="b">
        <v>0</v>
      </c>
    </row>
    <row r="273" spans="2:4" x14ac:dyDescent="0.3">
      <c r="B273" s="2">
        <v>46414</v>
      </c>
      <c r="C273">
        <v>40</v>
      </c>
      <c r="D273" t="b">
        <v>0</v>
      </c>
    </row>
    <row r="274" spans="2:4" x14ac:dyDescent="0.3">
      <c r="B274" s="2">
        <v>46415</v>
      </c>
      <c r="C274">
        <v>40</v>
      </c>
      <c r="D274" t="b">
        <v>0</v>
      </c>
    </row>
    <row r="275" spans="2:4" x14ac:dyDescent="0.3">
      <c r="B275" s="2">
        <v>46416</v>
      </c>
      <c r="C275">
        <v>40</v>
      </c>
      <c r="D275" t="b">
        <v>0</v>
      </c>
    </row>
    <row r="276" spans="2:4" x14ac:dyDescent="0.3">
      <c r="B276" s="2">
        <v>46417</v>
      </c>
      <c r="C276">
        <v>40</v>
      </c>
      <c r="D276" t="b">
        <v>0</v>
      </c>
    </row>
    <row r="277" spans="2:4" x14ac:dyDescent="0.3">
      <c r="B277" s="2">
        <v>46418</v>
      </c>
      <c r="C277">
        <v>40</v>
      </c>
      <c r="D277" t="b">
        <v>0</v>
      </c>
    </row>
    <row r="278" spans="2:4" x14ac:dyDescent="0.3">
      <c r="B278" s="2">
        <v>46419</v>
      </c>
      <c r="C278">
        <v>40</v>
      </c>
      <c r="D278" t="b">
        <v>1</v>
      </c>
    </row>
    <row r="279" spans="2:4" x14ac:dyDescent="0.3">
      <c r="B279" s="2">
        <v>46420</v>
      </c>
      <c r="C279">
        <v>40</v>
      </c>
      <c r="D279" t="b">
        <v>0</v>
      </c>
    </row>
    <row r="280" spans="2:4" x14ac:dyDescent="0.3">
      <c r="B280" s="2">
        <v>46421</v>
      </c>
      <c r="C280">
        <v>40</v>
      </c>
      <c r="D280" t="b">
        <v>0</v>
      </c>
    </row>
    <row r="281" spans="2:4" x14ac:dyDescent="0.3">
      <c r="B281" s="2">
        <v>46422</v>
      </c>
      <c r="C281">
        <v>40</v>
      </c>
      <c r="D281" t="b">
        <v>0</v>
      </c>
    </row>
    <row r="282" spans="2:4" x14ac:dyDescent="0.3">
      <c r="B282" s="2">
        <v>46423</v>
      </c>
      <c r="C282">
        <v>40</v>
      </c>
      <c r="D282" t="b">
        <v>0</v>
      </c>
    </row>
    <row r="283" spans="2:4" x14ac:dyDescent="0.3">
      <c r="B283" s="2">
        <v>46424</v>
      </c>
      <c r="C283">
        <v>40</v>
      </c>
      <c r="D283" t="b">
        <v>0</v>
      </c>
    </row>
    <row r="284" spans="2:4" x14ac:dyDescent="0.3">
      <c r="B284" s="2">
        <v>46425</v>
      </c>
      <c r="C284">
        <v>40</v>
      </c>
      <c r="D284" t="b">
        <v>0</v>
      </c>
    </row>
    <row r="285" spans="2:4" x14ac:dyDescent="0.3">
      <c r="B285" s="2">
        <v>46426</v>
      </c>
      <c r="C285">
        <v>40</v>
      </c>
      <c r="D285" t="b">
        <v>0</v>
      </c>
    </row>
    <row r="286" spans="2:4" x14ac:dyDescent="0.3">
      <c r="B286" s="2">
        <v>46427</v>
      </c>
      <c r="C286">
        <v>40</v>
      </c>
      <c r="D286" t="b">
        <v>0</v>
      </c>
    </row>
    <row r="287" spans="2:4" x14ac:dyDescent="0.3">
      <c r="B287" s="2">
        <v>46428</v>
      </c>
      <c r="C287">
        <v>40</v>
      </c>
      <c r="D287" t="b">
        <v>0</v>
      </c>
    </row>
    <row r="288" spans="2:4" x14ac:dyDescent="0.3">
      <c r="B288" s="2">
        <v>46429</v>
      </c>
      <c r="C288">
        <v>40</v>
      </c>
      <c r="D288" t="b">
        <v>0</v>
      </c>
    </row>
    <row r="289" spans="2:4" x14ac:dyDescent="0.3">
      <c r="B289" s="2">
        <v>46430</v>
      </c>
      <c r="C289">
        <v>40</v>
      </c>
      <c r="D289" t="b">
        <v>0</v>
      </c>
    </row>
    <row r="290" spans="2:4" x14ac:dyDescent="0.3">
      <c r="B290" s="2">
        <v>46431</v>
      </c>
      <c r="C290">
        <v>40</v>
      </c>
      <c r="D290" t="b">
        <v>0</v>
      </c>
    </row>
    <row r="291" spans="2:4" x14ac:dyDescent="0.3">
      <c r="B291" s="2">
        <v>46432</v>
      </c>
      <c r="C291">
        <v>40</v>
      </c>
      <c r="D291" t="b">
        <v>0</v>
      </c>
    </row>
    <row r="292" spans="2:4" x14ac:dyDescent="0.3">
      <c r="B292" s="2">
        <v>46433</v>
      </c>
      <c r="C292">
        <v>40</v>
      </c>
      <c r="D292" t="b">
        <v>0</v>
      </c>
    </row>
    <row r="293" spans="2:4" x14ac:dyDescent="0.3">
      <c r="B293" s="2">
        <v>46434</v>
      </c>
      <c r="C293">
        <v>40</v>
      </c>
      <c r="D293" t="b">
        <v>0</v>
      </c>
    </row>
    <row r="294" spans="2:4" x14ac:dyDescent="0.3">
      <c r="B294" s="2">
        <v>46435</v>
      </c>
      <c r="C294">
        <v>40</v>
      </c>
      <c r="D294" t="b">
        <v>0</v>
      </c>
    </row>
    <row r="295" spans="2:4" x14ac:dyDescent="0.3">
      <c r="B295" s="2">
        <v>46436</v>
      </c>
      <c r="C295">
        <v>40</v>
      </c>
      <c r="D295" t="b">
        <v>0</v>
      </c>
    </row>
    <row r="296" spans="2:4" x14ac:dyDescent="0.3">
      <c r="B296" s="2">
        <v>46437</v>
      </c>
      <c r="C296">
        <v>40</v>
      </c>
      <c r="D296" t="b">
        <v>0</v>
      </c>
    </row>
    <row r="297" spans="2:4" x14ac:dyDescent="0.3">
      <c r="B297" s="2">
        <v>46438</v>
      </c>
      <c r="C297">
        <v>40</v>
      </c>
      <c r="D297" t="b">
        <v>0</v>
      </c>
    </row>
    <row r="298" spans="2:4" x14ac:dyDescent="0.3">
      <c r="B298" s="2">
        <v>46439</v>
      </c>
      <c r="C298">
        <v>40</v>
      </c>
      <c r="D298" t="b">
        <v>0</v>
      </c>
    </row>
    <row r="299" spans="2:4" x14ac:dyDescent="0.3">
      <c r="B299" s="2">
        <v>46440</v>
      </c>
      <c r="C299">
        <v>40</v>
      </c>
      <c r="D299" t="b">
        <v>0</v>
      </c>
    </row>
    <row r="300" spans="2:4" x14ac:dyDescent="0.3">
      <c r="B300" s="2">
        <v>46441</v>
      </c>
      <c r="C300">
        <v>40</v>
      </c>
      <c r="D300" t="b">
        <v>0</v>
      </c>
    </row>
    <row r="301" spans="2:4" x14ac:dyDescent="0.3">
      <c r="B301" s="2">
        <v>46442</v>
      </c>
      <c r="C301">
        <v>40</v>
      </c>
      <c r="D301" t="b">
        <v>0</v>
      </c>
    </row>
    <row r="302" spans="2:4" x14ac:dyDescent="0.3">
      <c r="B302" s="2">
        <v>46443</v>
      </c>
      <c r="C302">
        <v>40</v>
      </c>
      <c r="D302" t="b">
        <v>0</v>
      </c>
    </row>
    <row r="303" spans="2:4" x14ac:dyDescent="0.3">
      <c r="B303" s="2">
        <v>46444</v>
      </c>
      <c r="C303">
        <v>40</v>
      </c>
      <c r="D303" t="b">
        <v>0</v>
      </c>
    </row>
    <row r="304" spans="2:4" x14ac:dyDescent="0.3">
      <c r="B304" s="2">
        <v>46445</v>
      </c>
      <c r="C304">
        <v>40</v>
      </c>
      <c r="D304" t="b">
        <v>0</v>
      </c>
    </row>
    <row r="305" spans="2:4" x14ac:dyDescent="0.3">
      <c r="B305" s="2">
        <v>46446</v>
      </c>
      <c r="C305">
        <v>40</v>
      </c>
      <c r="D305" t="b">
        <v>0</v>
      </c>
    </row>
    <row r="306" spans="2:4" x14ac:dyDescent="0.3">
      <c r="B306" s="2">
        <v>46447</v>
      </c>
      <c r="C306">
        <v>40</v>
      </c>
      <c r="D306" t="b">
        <v>1</v>
      </c>
    </row>
    <row r="307" spans="2:4" x14ac:dyDescent="0.3">
      <c r="B307" s="2">
        <v>46448</v>
      </c>
      <c r="C307">
        <v>40</v>
      </c>
      <c r="D307" t="b">
        <v>0</v>
      </c>
    </row>
    <row r="308" spans="2:4" x14ac:dyDescent="0.3">
      <c r="B308" s="2">
        <v>46449</v>
      </c>
      <c r="C308">
        <v>40</v>
      </c>
      <c r="D308" t="b">
        <v>0</v>
      </c>
    </row>
    <row r="309" spans="2:4" x14ac:dyDescent="0.3">
      <c r="B309" s="2">
        <v>46450</v>
      </c>
      <c r="C309">
        <v>40</v>
      </c>
      <c r="D309" t="b">
        <v>0</v>
      </c>
    </row>
    <row r="310" spans="2:4" x14ac:dyDescent="0.3">
      <c r="B310" s="2">
        <v>46451</v>
      </c>
      <c r="C310">
        <v>40</v>
      </c>
      <c r="D310" t="b">
        <v>0</v>
      </c>
    </row>
    <row r="311" spans="2:4" x14ac:dyDescent="0.3">
      <c r="B311" s="2">
        <v>46452</v>
      </c>
      <c r="C311">
        <v>40</v>
      </c>
      <c r="D311" t="b">
        <v>0</v>
      </c>
    </row>
    <row r="312" spans="2:4" x14ac:dyDescent="0.3">
      <c r="B312" s="2">
        <v>46453</v>
      </c>
      <c r="C312">
        <v>40</v>
      </c>
      <c r="D312" t="b">
        <v>0</v>
      </c>
    </row>
    <row r="313" spans="2:4" x14ac:dyDescent="0.3">
      <c r="B313" s="2">
        <v>46454</v>
      </c>
      <c r="C313">
        <v>40</v>
      </c>
      <c r="D313" t="b">
        <v>0</v>
      </c>
    </row>
    <row r="314" spans="2:4" x14ac:dyDescent="0.3">
      <c r="B314" s="2">
        <v>46455</v>
      </c>
      <c r="C314">
        <v>40</v>
      </c>
      <c r="D314" t="b">
        <v>0</v>
      </c>
    </row>
    <row r="315" spans="2:4" x14ac:dyDescent="0.3">
      <c r="B315" s="2">
        <v>46456</v>
      </c>
      <c r="C315">
        <v>40</v>
      </c>
      <c r="D315" t="b">
        <v>0</v>
      </c>
    </row>
    <row r="316" spans="2:4" x14ac:dyDescent="0.3">
      <c r="B316" s="2">
        <v>46457</v>
      </c>
      <c r="C316">
        <v>40</v>
      </c>
      <c r="D316" t="b">
        <v>0</v>
      </c>
    </row>
    <row r="317" spans="2:4" x14ac:dyDescent="0.3">
      <c r="B317" s="2">
        <v>46458</v>
      </c>
      <c r="C317">
        <v>40</v>
      </c>
      <c r="D317" t="b">
        <v>0</v>
      </c>
    </row>
    <row r="318" spans="2:4" x14ac:dyDescent="0.3">
      <c r="B318" s="2">
        <v>46459</v>
      </c>
      <c r="C318">
        <v>40</v>
      </c>
      <c r="D318" t="b">
        <v>0</v>
      </c>
    </row>
    <row r="319" spans="2:4" x14ac:dyDescent="0.3">
      <c r="B319" s="2">
        <v>46460</v>
      </c>
      <c r="C319">
        <v>40</v>
      </c>
      <c r="D319" t="b">
        <v>0</v>
      </c>
    </row>
    <row r="320" spans="2:4" x14ac:dyDescent="0.3">
      <c r="B320" s="2">
        <v>46461</v>
      </c>
      <c r="C320">
        <v>40</v>
      </c>
      <c r="D320" t="b">
        <v>0</v>
      </c>
    </row>
    <row r="321" spans="2:4" x14ac:dyDescent="0.3">
      <c r="B321" s="2">
        <v>46462</v>
      </c>
      <c r="C321">
        <v>40</v>
      </c>
      <c r="D321" t="b">
        <v>0</v>
      </c>
    </row>
    <row r="322" spans="2:4" x14ac:dyDescent="0.3">
      <c r="B322" s="2">
        <v>46463</v>
      </c>
      <c r="C322">
        <v>40</v>
      </c>
      <c r="D322" t="b">
        <v>0</v>
      </c>
    </row>
    <row r="323" spans="2:4" x14ac:dyDescent="0.3">
      <c r="B323" s="2">
        <v>46464</v>
      </c>
      <c r="C323">
        <v>40</v>
      </c>
      <c r="D323" t="b">
        <v>0</v>
      </c>
    </row>
    <row r="324" spans="2:4" x14ac:dyDescent="0.3">
      <c r="B324" s="2">
        <v>46465</v>
      </c>
      <c r="C324">
        <v>40</v>
      </c>
      <c r="D324" t="b">
        <v>0</v>
      </c>
    </row>
    <row r="325" spans="2:4" x14ac:dyDescent="0.3">
      <c r="B325" s="2">
        <v>46466</v>
      </c>
      <c r="C325">
        <v>40</v>
      </c>
      <c r="D325" t="b">
        <v>0</v>
      </c>
    </row>
    <row r="326" spans="2:4" x14ac:dyDescent="0.3">
      <c r="B326" s="2">
        <v>46467</v>
      </c>
      <c r="C326">
        <v>40</v>
      </c>
      <c r="D326" t="b">
        <v>0</v>
      </c>
    </row>
    <row r="327" spans="2:4" x14ac:dyDescent="0.3">
      <c r="B327" s="2">
        <v>46468</v>
      </c>
      <c r="C327">
        <v>40</v>
      </c>
      <c r="D327" t="b">
        <v>0</v>
      </c>
    </row>
    <row r="328" spans="2:4" x14ac:dyDescent="0.3">
      <c r="B328" s="2">
        <v>46469</v>
      </c>
      <c r="C328">
        <v>40</v>
      </c>
      <c r="D328" t="b">
        <v>0</v>
      </c>
    </row>
    <row r="329" spans="2:4" x14ac:dyDescent="0.3">
      <c r="B329" s="2">
        <v>46470</v>
      </c>
      <c r="C329">
        <v>40</v>
      </c>
      <c r="D329" t="b">
        <v>0</v>
      </c>
    </row>
    <row r="330" spans="2:4" x14ac:dyDescent="0.3">
      <c r="B330" s="2">
        <v>46471</v>
      </c>
      <c r="C330">
        <v>40</v>
      </c>
      <c r="D330" t="b">
        <v>0</v>
      </c>
    </row>
    <row r="331" spans="2:4" x14ac:dyDescent="0.3">
      <c r="B331" s="2">
        <v>46472</v>
      </c>
      <c r="C331">
        <v>40</v>
      </c>
      <c r="D331" t="b">
        <v>0</v>
      </c>
    </row>
    <row r="332" spans="2:4" x14ac:dyDescent="0.3">
      <c r="B332" s="2">
        <v>46473</v>
      </c>
      <c r="C332">
        <v>40</v>
      </c>
      <c r="D332" t="b">
        <v>0</v>
      </c>
    </row>
    <row r="333" spans="2:4" x14ac:dyDescent="0.3">
      <c r="B333" s="2">
        <v>46474</v>
      </c>
      <c r="C333">
        <v>40</v>
      </c>
      <c r="D333" t="b">
        <v>0</v>
      </c>
    </row>
    <row r="334" spans="2:4" x14ac:dyDescent="0.3">
      <c r="B334" s="2">
        <v>46475</v>
      </c>
      <c r="C334">
        <v>40</v>
      </c>
      <c r="D334" t="b">
        <v>0</v>
      </c>
    </row>
    <row r="335" spans="2:4" x14ac:dyDescent="0.3">
      <c r="B335" s="2">
        <v>46476</v>
      </c>
      <c r="C335">
        <v>40</v>
      </c>
      <c r="D335" t="b">
        <v>0</v>
      </c>
    </row>
    <row r="336" spans="2:4" x14ac:dyDescent="0.3">
      <c r="B336" s="2">
        <v>46477</v>
      </c>
      <c r="C336">
        <v>40</v>
      </c>
      <c r="D336" t="b">
        <v>0</v>
      </c>
    </row>
    <row r="337" spans="2:4" x14ac:dyDescent="0.3">
      <c r="B337" s="2">
        <v>46478</v>
      </c>
      <c r="C337">
        <v>40</v>
      </c>
      <c r="D337" t="b">
        <v>1</v>
      </c>
    </row>
  </sheetData>
  <autoFilter ref="B1:D337" xr:uid="{FB4DFB22-8CED-4A0D-BA7D-5E036AC4DBF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price_paths_test_n2</vt:lpstr>
      <vt:lpstr>daily_fwd_curve_test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Lienemann, Holger</cp:lastModifiedBy>
  <dcterms:created xsi:type="dcterms:W3CDTF">2026-04-27T14:21:19Z</dcterms:created>
  <dcterms:modified xsi:type="dcterms:W3CDTF">2026-04-28T15:45:54Z</dcterms:modified>
</cp:coreProperties>
</file>